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emmersonEmmerson/Documents/Master's/Work feb 2025/NL_watersheds/data/"/>
    </mc:Choice>
  </mc:AlternateContent>
  <xr:revisionPtr revIDLastSave="0" documentId="13_ncr:1_{57CEAB55-B117-254A-9FCF-974476BE0C48}" xr6:coauthVersionLast="47" xr6:coauthVersionMax="47" xr10:uidLastSave="{00000000-0000-0000-0000-000000000000}"/>
  <bookViews>
    <workbookView xWindow="-33720" yWindow="680" windowWidth="18980" windowHeight="20780" activeTab="3" xr2:uid="{00000000-000D-0000-FFFF-FFFF00000000}"/>
  </bookViews>
  <sheets>
    <sheet name="2025" sheetId="5" r:id="rId1"/>
    <sheet name="2024bg" sheetId="8" r:id="rId2"/>
    <sheet name="2024sm" sheetId="4" r:id="rId3"/>
    <sheet name="Data" sheetId="1" r:id="rId4"/>
    <sheet name="Site Name Acronyms" sheetId="2" r:id="rId5"/>
  </sheets>
  <definedNames>
    <definedName name="_xlnm._FilterDatabase" localSheetId="3" hidden="1">Data!$A$1:$N$157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2" i="1"/>
  <c r="H40" i="1"/>
  <c r="H41" i="1"/>
  <c r="H6" i="1"/>
  <c r="H7" i="1"/>
  <c r="H8" i="1"/>
  <c r="H74" i="1"/>
  <c r="H75" i="1"/>
  <c r="H76" i="1"/>
  <c r="H27" i="1"/>
  <c r="H28" i="1"/>
  <c r="H29" i="1"/>
  <c r="H77" i="1"/>
  <c r="H78" i="1"/>
  <c r="H79" i="1"/>
  <c r="H96" i="1"/>
  <c r="H97" i="1"/>
  <c r="H98" i="1"/>
  <c r="H24" i="1"/>
  <c r="H25" i="1"/>
  <c r="H26" i="1"/>
  <c r="H58" i="1"/>
  <c r="H59" i="1"/>
  <c r="H60" i="1"/>
  <c r="H116" i="1"/>
  <c r="H117" i="1"/>
  <c r="H118" i="1"/>
  <c r="H80" i="1"/>
  <c r="H81" i="1"/>
  <c r="H82" i="1"/>
  <c r="H139" i="1"/>
  <c r="H140" i="1"/>
  <c r="H141" i="1"/>
  <c r="H120" i="1"/>
  <c r="H121" i="1"/>
  <c r="H122" i="1"/>
  <c r="H15" i="1"/>
  <c r="H16" i="1"/>
  <c r="H17" i="1"/>
  <c r="H51" i="1"/>
  <c r="H52" i="1"/>
  <c r="H53" i="1"/>
  <c r="H61" i="1"/>
  <c r="H62" i="1"/>
  <c r="H63" i="1"/>
  <c r="H71" i="1"/>
  <c r="H72" i="1"/>
  <c r="H73" i="1"/>
  <c r="H93" i="1"/>
  <c r="H94" i="1"/>
  <c r="H95" i="1"/>
  <c r="H123" i="1"/>
  <c r="H124" i="1"/>
  <c r="H125" i="1"/>
  <c r="H155" i="1"/>
  <c r="H156" i="1"/>
  <c r="H157" i="1"/>
  <c r="H136" i="1"/>
  <c r="H137" i="1"/>
  <c r="H138" i="1"/>
  <c r="H12" i="1"/>
  <c r="H13" i="1"/>
  <c r="H14" i="1"/>
  <c r="H33" i="1"/>
  <c r="H34" i="1"/>
  <c r="H35" i="1"/>
  <c r="H86" i="1"/>
  <c r="H87" i="1"/>
  <c r="H88" i="1"/>
  <c r="H45" i="1"/>
  <c r="H46" i="1"/>
  <c r="H47" i="1"/>
  <c r="H151" i="1"/>
  <c r="H152" i="1"/>
  <c r="H153" i="1"/>
  <c r="H90" i="1"/>
  <c r="H91" i="1"/>
  <c r="H92" i="1"/>
  <c r="H165" i="1"/>
  <c r="H166" i="1"/>
  <c r="H167" i="1"/>
  <c r="H162" i="1"/>
  <c r="H163" i="1"/>
  <c r="H164" i="1"/>
  <c r="H158" i="1"/>
  <c r="H159" i="1"/>
  <c r="H160" i="1"/>
  <c r="H133" i="1"/>
  <c r="H134" i="1"/>
  <c r="H135" i="1"/>
  <c r="H127" i="1"/>
  <c r="H128" i="1"/>
  <c r="H129" i="1"/>
  <c r="H130" i="1"/>
  <c r="H131" i="1"/>
  <c r="H132" i="1"/>
  <c r="H36" i="1"/>
  <c r="H37" i="1"/>
  <c r="H38" i="1"/>
  <c r="H145" i="1"/>
  <c r="H146" i="1"/>
  <c r="H147" i="1"/>
  <c r="H48" i="1"/>
  <c r="H49" i="1"/>
  <c r="H50" i="1"/>
  <c r="H103" i="1"/>
  <c r="H104" i="1"/>
  <c r="H105" i="1"/>
  <c r="H113" i="1"/>
  <c r="H114" i="1"/>
  <c r="H115" i="1"/>
  <c r="H110" i="1"/>
  <c r="H111" i="1"/>
  <c r="H112" i="1"/>
  <c r="H55" i="1"/>
  <c r="H56" i="1"/>
  <c r="H57" i="1"/>
  <c r="H42" i="1"/>
  <c r="H43" i="1"/>
  <c r="H44" i="1"/>
  <c r="H64" i="1"/>
  <c r="H65" i="1"/>
  <c r="H66" i="1"/>
  <c r="H83" i="1"/>
  <c r="H84" i="1"/>
  <c r="H85" i="1"/>
  <c r="H3" i="1"/>
  <c r="H4" i="1"/>
  <c r="H5" i="1"/>
  <c r="H30" i="1"/>
  <c r="H31" i="1"/>
  <c r="H32" i="1"/>
  <c r="H21" i="1"/>
  <c r="H22" i="1"/>
  <c r="H23" i="1"/>
  <c r="H99" i="1"/>
  <c r="H100" i="1"/>
  <c r="H101" i="1"/>
  <c r="H148" i="1"/>
  <c r="H149" i="1"/>
  <c r="H150" i="1"/>
  <c r="H142" i="1"/>
  <c r="H143" i="1"/>
  <c r="H144" i="1"/>
  <c r="H67" i="1"/>
  <c r="H68" i="1"/>
  <c r="H69" i="1"/>
  <c r="H18" i="1"/>
  <c r="H19" i="1"/>
  <c r="H20" i="1"/>
  <c r="H107" i="1"/>
  <c r="H108" i="1"/>
  <c r="H109" i="1"/>
  <c r="H9" i="1"/>
  <c r="H10" i="1"/>
  <c r="H11" i="1"/>
  <c r="H126" i="1"/>
  <c r="H70" i="1"/>
  <c r="H2" i="1"/>
  <c r="H106" i="1"/>
  <c r="H161" i="1"/>
  <c r="H102" i="1"/>
  <c r="H89" i="1"/>
  <c r="H54" i="1"/>
  <c r="H154" i="1"/>
  <c r="H119" i="1"/>
  <c r="H3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2" i="1"/>
</calcChain>
</file>

<file path=xl/sharedStrings.xml><?xml version="1.0" encoding="utf-8"?>
<sst xmlns="http://schemas.openxmlformats.org/spreadsheetml/2006/main" count="829" uniqueCount="271">
  <si>
    <t>Site code</t>
  </si>
  <si>
    <t>Date</t>
  </si>
  <si>
    <t>Year</t>
  </si>
  <si>
    <t>Downstream coords</t>
  </si>
  <si>
    <t>Upstream coords</t>
  </si>
  <si>
    <t>Combo meter sample #</t>
  </si>
  <si>
    <t>Water temp</t>
  </si>
  <si>
    <t>pH</t>
  </si>
  <si>
    <t>EC</t>
  </si>
  <si>
    <t>Dissolved solids (ppm)</t>
  </si>
  <si>
    <t>Alkalinity (ppm)</t>
  </si>
  <si>
    <t>GWB-GW-1</t>
  </si>
  <si>
    <t>N 48.91798, W 55.64824</t>
  </si>
  <si>
    <t>N 48.91731, W 55.64837</t>
  </si>
  <si>
    <t>JPB-JB-1</t>
  </si>
  <si>
    <t>N 49.02197, W 55.39803</t>
  </si>
  <si>
    <t>N 49.02148, W 55.39841</t>
  </si>
  <si>
    <t>BGB-RK-1</t>
  </si>
  <si>
    <t>N 49.06106, W 56.10947</t>
  </si>
  <si>
    <t>N 49.06115, W 56.11103</t>
  </si>
  <si>
    <t>GRB-TH-1</t>
  </si>
  <si>
    <t>N 48.91158, W 55.53745</t>
  </si>
  <si>
    <t>N 48.91119, W 55.53818</t>
  </si>
  <si>
    <t>LRI-LR-1</t>
  </si>
  <si>
    <t>N 48.92064, W 56.18985</t>
  </si>
  <si>
    <t>N 48.92012, W 56.19001</t>
  </si>
  <si>
    <t>MRM-JG-1</t>
  </si>
  <si>
    <t>N 48.86467, W 56.44006</t>
  </si>
  <si>
    <t>N 48.86519, W 56.43868</t>
  </si>
  <si>
    <t>GRB-RP-2</t>
  </si>
  <si>
    <t>N 48.74380, W 55.52758</t>
  </si>
  <si>
    <t>N 48.74296, W 55.52735</t>
  </si>
  <si>
    <t>TJB-TJ-1</t>
  </si>
  <si>
    <t>N 48.92785, W 55.95797</t>
  </si>
  <si>
    <t>N 48.92738, W 55.95863</t>
  </si>
  <si>
    <t>HPB-SS-1</t>
  </si>
  <si>
    <t>N 48.61349, W 56.63420</t>
  </si>
  <si>
    <t>N 48.61371, W 56.63494</t>
  </si>
  <si>
    <t>NPB-TP-3</t>
  </si>
  <si>
    <t>N 48.65636, W 56.19398</t>
  </si>
  <si>
    <t>N 48.65672, W 56.19354</t>
  </si>
  <si>
    <t>HBB-HB-1</t>
  </si>
  <si>
    <t>N 48.68567, W 56.87863</t>
  </si>
  <si>
    <t>N 48.68560, W 56.87787</t>
  </si>
  <si>
    <t>LSB-LS-2</t>
  </si>
  <si>
    <t>N 48.80797, W 56.69196</t>
  </si>
  <si>
    <t>N 48.80870, W 56.69218</t>
  </si>
  <si>
    <t>GRB-HL-4</t>
  </si>
  <si>
    <t>N 48.77488, W 55.49938</t>
  </si>
  <si>
    <t>N 48.77399, W 55.49959</t>
  </si>
  <si>
    <t>SNB-WS-1</t>
  </si>
  <si>
    <t>N 48.85054, W 55.78043</t>
  </si>
  <si>
    <t>N 48.85021, W 55.78121</t>
  </si>
  <si>
    <t>BGB-MA-2</t>
  </si>
  <si>
    <t>N 49.07740, W 55.99052</t>
  </si>
  <si>
    <t>N 49.07818, W 55.98991</t>
  </si>
  <si>
    <t>PHB-PH-1</t>
  </si>
  <si>
    <t>N 48.94168, W 56.04303</t>
  </si>
  <si>
    <t>N 48.94124, W 56.04375</t>
  </si>
  <si>
    <t>MCB-MB-1</t>
  </si>
  <si>
    <t>N 48.76766, W 56.38787</t>
  </si>
  <si>
    <t>N 48.76747, W 56.38759</t>
  </si>
  <si>
    <t>NPB-SW-1</t>
  </si>
  <si>
    <t>N 48.41282, W 56.73870</t>
  </si>
  <si>
    <t>N 48.41224. W 56.73853</t>
  </si>
  <si>
    <t>CGB-CG-1</t>
  </si>
  <si>
    <t>N 48.55573, W 57.12020</t>
  </si>
  <si>
    <t>N 48.55548, W 57.11979</t>
  </si>
  <si>
    <t>WLB-WL-1</t>
  </si>
  <si>
    <t>N 48.77073, W 56.86468</t>
  </si>
  <si>
    <t>N 48.77128, W 56.86586</t>
  </si>
  <si>
    <t>GRB-TB-3</t>
  </si>
  <si>
    <t>N 48.81880, W 55.48946</t>
  </si>
  <si>
    <t>N 48.81928, W 55.48830</t>
  </si>
  <si>
    <t>LRB-LT-1</t>
  </si>
  <si>
    <t>N 48.92211, W 55.61086</t>
  </si>
  <si>
    <t>N 48.92155, W 55.61128</t>
  </si>
  <si>
    <t>N 48.74871, W 56.24922</t>
  </si>
  <si>
    <t>N 48.74900, W 56.24856</t>
  </si>
  <si>
    <t>GRB-BB-1</t>
  </si>
  <si>
    <t>N 48.63305, W 55.73506</t>
  </si>
  <si>
    <t>N 48.63250, W 55.73509</t>
  </si>
  <si>
    <t>VTR-VR-2</t>
  </si>
  <si>
    <t>N 48.42519, W 57.07986</t>
  </si>
  <si>
    <t>N 48.42500, W 57.08096</t>
  </si>
  <si>
    <t>NPB-CB-1</t>
  </si>
  <si>
    <t>N 48.61591,W 56.34280</t>
  </si>
  <si>
    <t>N 48.61523, W 56.34299</t>
  </si>
  <si>
    <t>N 48.39377, W 57.47034</t>
  </si>
  <si>
    <t>N 48.39334, W 57.46984</t>
  </si>
  <si>
    <t>LYR-LY-1</t>
  </si>
  <si>
    <t>N 48.46025, W 57.43190</t>
  </si>
  <si>
    <t>N 48.46067, W 57.43143</t>
  </si>
  <si>
    <t>TKB-TK-1</t>
  </si>
  <si>
    <t>N 48.54182, W 57.17826</t>
  </si>
  <si>
    <t>N 48.54099, W 57.17885</t>
  </si>
  <si>
    <t>BCB-BC-2</t>
  </si>
  <si>
    <t>N 48.85604, W 56.82196</t>
  </si>
  <si>
    <t>N 48.85777, W 56.82185</t>
  </si>
  <si>
    <t>BCB-BC-1</t>
  </si>
  <si>
    <t>N 48.84623, W 56.78580</t>
  </si>
  <si>
    <t>N 48.84710, W 56.78572</t>
  </si>
  <si>
    <t>VTR-HW-1</t>
  </si>
  <si>
    <t>N 48.46088, W 56.79710</t>
  </si>
  <si>
    <t>N 48.46024, W 56.79755</t>
  </si>
  <si>
    <t>GRB-PL-1</t>
  </si>
  <si>
    <t>N 48.70595, W 55.63019</t>
  </si>
  <si>
    <t>N 48.70641, W 55.63074</t>
  </si>
  <si>
    <t>SPB-SP-1</t>
  </si>
  <si>
    <t>N 48.73885, W 56.92947</t>
  </si>
  <si>
    <t>N 48.73891, W 56.93018</t>
  </si>
  <si>
    <t>SNB-US-1</t>
  </si>
  <si>
    <t>N 48.81558, W 55.75333</t>
  </si>
  <si>
    <t>N 48.81482, W 55.75401</t>
  </si>
  <si>
    <t>HPB-EP-1</t>
  </si>
  <si>
    <t>N 48.68157, W 56.51104</t>
  </si>
  <si>
    <t>N 48.68184, W 56.51056</t>
  </si>
  <si>
    <t>HPB-HP-3</t>
  </si>
  <si>
    <t>N 48.60475, W 56.63340</t>
  </si>
  <si>
    <t>N 48.60433, W 56.63440</t>
  </si>
  <si>
    <t>BTL-BP-1</t>
  </si>
  <si>
    <t>N 48.74133, W 56.59879</t>
  </si>
  <si>
    <t>N 48.74096, W 56.59937</t>
  </si>
  <si>
    <t>SDY-SB-1</t>
  </si>
  <si>
    <t>N 48.91359, W 55.79738</t>
  </si>
  <si>
    <t>N 48.91284, W 55.79810</t>
  </si>
  <si>
    <t>GWB</t>
  </si>
  <si>
    <t>TJB</t>
  </si>
  <si>
    <t>NPB-PW</t>
  </si>
  <si>
    <t>JPB</t>
  </si>
  <si>
    <t>GRB-IS</t>
  </si>
  <si>
    <t>GRB-RP</t>
  </si>
  <si>
    <t>BUJ</t>
  </si>
  <si>
    <t>SLT-1</t>
  </si>
  <si>
    <t>HRP</t>
  </si>
  <si>
    <t>JUR</t>
  </si>
  <si>
    <t>GRB-CL</t>
  </si>
  <si>
    <t>BPB</t>
  </si>
  <si>
    <t>GRB-TB</t>
  </si>
  <si>
    <t xml:space="preserve">Abbreviation </t>
  </si>
  <si>
    <t>Site Name</t>
  </si>
  <si>
    <t>Greenwoods Brook</t>
  </si>
  <si>
    <t>Tom Joe’s Brook</t>
  </si>
  <si>
    <t>Point of Woods Brook</t>
  </si>
  <si>
    <t>Jumpers Brook</t>
  </si>
  <si>
    <t>Island Pond Brook</t>
  </si>
  <si>
    <t>Rocky Pond Brook</t>
  </si>
  <si>
    <t>Buchans Junction Brook</t>
  </si>
  <si>
    <t>Skidder Lake Brook</t>
  </si>
  <si>
    <t>Harbour Rond Pond Brook</t>
  </si>
  <si>
    <t>Junction River</t>
  </si>
  <si>
    <t>Crooked Lake Pond Brook</t>
  </si>
  <si>
    <t>Burnt Pond Brook</t>
  </si>
  <si>
    <t>Tote Brook</t>
  </si>
  <si>
    <t>NAB-NB-1</t>
  </si>
  <si>
    <t>Northern Arm Brook</t>
  </si>
  <si>
    <t>Victoria River Half Way Brook 1</t>
  </si>
  <si>
    <t>Noel Paul Brook Carters Brook 1</t>
  </si>
  <si>
    <t>Noel Paul Brook Trappers Brook 3</t>
  </si>
  <si>
    <t>Jumpers Brook Jumpers Brook</t>
  </si>
  <si>
    <t>Green Woods Brook Green Woods</t>
  </si>
  <si>
    <t>Pamehoc Pamehoc 1</t>
  </si>
  <si>
    <t>NBR-MR-1</t>
  </si>
  <si>
    <t>New Bay River</t>
  </si>
  <si>
    <t>Great Rattling Brook Three Brooks Trib</t>
  </si>
  <si>
    <t>Great Rattling Brook Tote Brook Trib 3</t>
  </si>
  <si>
    <t>Beothuk Lake Burnt Pond Brook</t>
  </si>
  <si>
    <t>Stoney Brook Upper Stoney Brook</t>
  </si>
  <si>
    <t>Great Rattling Brook Haynes Lake</t>
  </si>
  <si>
    <t>Stoney Brook West Stoney Brook</t>
  </si>
  <si>
    <t>Michaels Brook Michaels Brook</t>
  </si>
  <si>
    <t>Skidder Pond Brook Skidder Pond Brook</t>
  </si>
  <si>
    <t>MPB-MP-1</t>
  </si>
  <si>
    <t>Mill Pond Brook</t>
  </si>
  <si>
    <t>Little Rattling Brook Little Rattling Brook</t>
  </si>
  <si>
    <t>Harpoon Brook East Pond Brook 1</t>
  </si>
  <si>
    <t>Mary March Joe Glodes 3</t>
  </si>
  <si>
    <t>Buchans Brook Buchans Brook Trib 2B</t>
  </si>
  <si>
    <t>CHB-CB-1</t>
  </si>
  <si>
    <t>Charles Brook</t>
  </si>
  <si>
    <t>WAB-WB-1</t>
  </si>
  <si>
    <t>Western Arm Brook</t>
  </si>
  <si>
    <t>Badger Brook Rocky Brook</t>
  </si>
  <si>
    <t>Great Rattling Brook Paradise Lake Brook</t>
  </si>
  <si>
    <t>NPB-PW-1</t>
  </si>
  <si>
    <t>Noel Paul Brook Point of Woods 1</t>
  </si>
  <si>
    <t>Sandy Brook</t>
  </si>
  <si>
    <t>Great Rattling Brook Rocky Pond Brook</t>
  </si>
  <si>
    <t>Harpoon Brook Harpoon Brook 5</t>
  </si>
  <si>
    <t>Little Red Indian Little Red Indian Trib 1</t>
  </si>
  <si>
    <t>LYR-LY-3</t>
  </si>
  <si>
    <t>Lloyds River Lloyds River Tributary 2A</t>
  </si>
  <si>
    <t>Badger Brook Mary Ann Brook 2</t>
  </si>
  <si>
    <t>Tulks Brook Tulks Brook A</t>
  </si>
  <si>
    <t xml:space="preserve">Noel Paul Brook Snowshoe Pond Brook 1 </t>
  </si>
  <si>
    <t>Wileys Brook Wileys Brook A</t>
  </si>
  <si>
    <t>Harpoon Brook South Steady</t>
  </si>
  <si>
    <t>Lloyds River Lloyds River Tributary 1</t>
  </si>
  <si>
    <t>PTR-PR-1</t>
  </si>
  <si>
    <t>Peters River</t>
  </si>
  <si>
    <t>Victoria River Victoria River Trib 1A</t>
  </si>
  <si>
    <t>Costigan Brook Costigan Brook</t>
  </si>
  <si>
    <t>Great Rattling Brook Beaver Brook</t>
  </si>
  <si>
    <t>Buchans Brook Buchans Brook Trib 1B</t>
  </si>
  <si>
    <t>Little Sandy Brook Little Sandy Brook 2</t>
  </si>
  <si>
    <t>Tom Joe Lower Tom Joe</t>
  </si>
  <si>
    <t>Healeys Bay Brook Healeys Bay Brook</t>
  </si>
  <si>
    <t>Row Labels</t>
  </si>
  <si>
    <t>Grand Total</t>
  </si>
  <si>
    <t>Average of pH</t>
  </si>
  <si>
    <t>Average of EC</t>
  </si>
  <si>
    <t>Average of Dissolved solids (ppm)</t>
  </si>
  <si>
    <t>Average of Alkalinity (ppm)</t>
  </si>
  <si>
    <t>DOC</t>
  </si>
  <si>
    <t>TDN</t>
  </si>
  <si>
    <t>(blank)</t>
  </si>
  <si>
    <t>TTB</t>
  </si>
  <si>
    <t>Trib size</t>
  </si>
  <si>
    <t>BCB-WQ-7</t>
  </si>
  <si>
    <t>BGB-WQ-3</t>
  </si>
  <si>
    <t>GRB-WQ-1</t>
  </si>
  <si>
    <t>HPB-WQ-5</t>
  </si>
  <si>
    <t>LYR-WQ-9</t>
  </si>
  <si>
    <t>MRM-WQ-6</t>
  </si>
  <si>
    <t>NPB-WQ-4</t>
  </si>
  <si>
    <t>SDB-WQ-2</t>
  </si>
  <si>
    <t>SHD-WQ-8</t>
  </si>
  <si>
    <t>VTR-WQ-10</t>
  </si>
  <si>
    <t>Sm</t>
  </si>
  <si>
    <t>Bg</t>
  </si>
  <si>
    <t>Average of DOC</t>
  </si>
  <si>
    <t>TDN*100</t>
  </si>
  <si>
    <t>Average of TDN*100</t>
  </si>
  <si>
    <t>N 48.91655 W 55.64888</t>
  </si>
  <si>
    <t>N 48.893270 W 56.013650</t>
  </si>
  <si>
    <t>N 48.75145 W 56.23388</t>
  </si>
  <si>
    <t>N 48.98050 W 55.38767</t>
  </si>
  <si>
    <t>N 48.90776 W 55.55571</t>
  </si>
  <si>
    <t>N 48.74799 W 55.527226</t>
  </si>
  <si>
    <t>N 48.84465 W 56.47173</t>
  </si>
  <si>
    <t>N 48.68341 W 56.95143</t>
  </si>
  <si>
    <t>N 48.63984 W 56.91285</t>
  </si>
  <si>
    <t>N 48.97482 W 56.01755</t>
  </si>
  <si>
    <t>N 48.94574 W 55.50520</t>
  </si>
  <si>
    <t>N 48.75265 W 56.59016</t>
  </si>
  <si>
    <t>N 48.87584 W 55.48901</t>
  </si>
  <si>
    <t>N 48.8035 W 56.77918</t>
  </si>
  <si>
    <t>N 48.98081 W 56.03229</t>
  </si>
  <si>
    <t>N 48.68819 W 56.52348</t>
  </si>
  <si>
    <t>N 48.5378 W 57.23600</t>
  </si>
  <si>
    <t>N 48.8490 W 56.48014</t>
  </si>
  <si>
    <t>N 48.7591 W 56.27966</t>
  </si>
  <si>
    <t>N 48.9184 W 55.79181</t>
  </si>
  <si>
    <t>N 48.6271 W 57.09695</t>
  </si>
  <si>
    <t>N 48.7426 W 56.67861</t>
  </si>
  <si>
    <t>N 48.91701 W 55.64848</t>
  </si>
  <si>
    <t>N 48.89357 W 56.01231</t>
  </si>
  <si>
    <t>N 48.75180 W 56.23413</t>
  </si>
  <si>
    <t>N 48.98091 W 55.38828</t>
  </si>
  <si>
    <t>N 48.90750 W 55.55503</t>
  </si>
  <si>
    <t>N 48.74886 W 55.52757</t>
  </si>
  <si>
    <t>N 48.84579 W 56.47289</t>
  </si>
  <si>
    <t>N 48.68256 W 56.95130</t>
  </si>
  <si>
    <t>N 48.640141  W 56.91361</t>
  </si>
  <si>
    <t>N 48.640141 W 56.91361</t>
  </si>
  <si>
    <t>N 48.97447 W 56.01804</t>
  </si>
  <si>
    <t>N 48.94477 W 55.50529</t>
  </si>
  <si>
    <t>N 48.75338 W 56.59022</t>
  </si>
  <si>
    <t>N 48.87520 W 55.48917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</si>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</sst>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2" fontId="1" fillId="2" borderId="0" xfId="0" applyNumberFormat="1" applyFont="1" applyFill="1"/>
    <xf numFmtId="164" fontId="1" fillId="0" borderId="0" xfId="0" applyNumberFormat="1" applyFont="1"/>
    <xf numFmtId="2" fontId="1" fillId="0" borderId="0" xfId="0" applyNumberFormat="1" applyFont="1"/>
    <xf numFmtId="0" fontId="2" fillId="2" borderId="0" xfId="0" applyFont="1" applyFill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0" fontId="3" fillId="0" borderId="0" xfId="0" applyFont="1"/>
    <xf numFmtId="0" fontId="4" fillId="3" borderId="0" xfId="0" applyFont="1" applyFill="1" applyAlignment="1">
      <alignment horizontal="center"/>
    </xf>
    <xf numFmtId="165" fontId="4" fillId="3" borderId="0" xfId="0" applyNumberFormat="1" applyFont="1" applyFill="1" applyAlignment="1">
      <alignment horizontal="right"/>
    </xf>
    <xf numFmtId="14" fontId="1" fillId="0" borderId="0" xfId="0" applyNumberFormat="1" applyFont="1"/>
    <xf numFmtId="14" fontId="1" fillId="2" borderId="0" xfId="0" applyNumberFormat="1" applyFont="1" applyFill="1"/>
    <xf numFmtId="14" fontId="1" fillId="0" borderId="0" xfId="0" applyNumberFormat="1" applyFont="1" applyAlignment="1">
      <alignment horizontal="right"/>
    </xf>
    <xf numFmtId="14" fontId="1" fillId="2" borderId="0" xfId="0" applyNumberFormat="1" applyFont="1" applyFill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[Water_Quality_data_explore.xlsx]2025!PivotTable1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'2025'!$B$3</c:f>
              <c:strCache>
                <c:ptCount val="1"/>
                <c:pt idx="0">
                  <c:v>Average of Alkalinity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'2025'!$B$4:$B$17</c:f>
              <c:numCache>
                <c:formatCode>General</c:formatCode>
                <c:ptCount val="13"/>
                <c:pt idx="0">
                  <c:v>21.333333333333332</c:v>
                </c:pt>
                <c:pt idx="1">
                  <c:v>16</c:v>
                </c:pt>
                <c:pt idx="2">
                  <c:v>28</c:v>
                </c:pt>
                <c:pt idx="3">
                  <c:v>22.666666666666668</c:v>
                </c:pt>
                <c:pt idx="4">
                  <c:v>17.333333333333332</c:v>
                </c:pt>
                <c:pt idx="5">
                  <c:v>18.666666666666668</c:v>
                </c:pt>
                <c:pt idx="6">
                  <c:v>40</c:v>
                </c:pt>
                <c:pt idx="7">
                  <c:v>28</c:v>
                </c:pt>
                <c:pt idx="8">
                  <c:v>24</c:v>
                </c:pt>
                <c:pt idx="9">
                  <c:v>29.333333333333332</c:v>
                </c:pt>
                <c:pt idx="10">
                  <c:v>29.333333333333332</c:v>
                </c:pt>
                <c:pt idx="11">
                  <c:v>25.333333333333332</c:v>
                </c:pt>
                <c:pt idx="1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A7-2F42-B2BA-7B4BCDFE128B}"/>
            </c:ext>
          </c:extLst>
        </c:ser>
        <c:ser>
          <c:idx val="1"/>
          <c:order val="1"/>
          <c:tx>
            <c:strRef>
              <c:f>'2025'!$C$3</c:f>
              <c:strCache>
                <c:ptCount val="1"/>
                <c:pt idx="0">
                  <c:v>Average of Dissolved solids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'2025'!$C$4:$C$17</c:f>
              <c:numCache>
                <c:formatCode>General</c:formatCode>
                <c:ptCount val="13"/>
                <c:pt idx="0">
                  <c:v>14.666666666666666</c:v>
                </c:pt>
                <c:pt idx="1">
                  <c:v>9</c:v>
                </c:pt>
                <c:pt idx="2">
                  <c:v>17</c:v>
                </c:pt>
                <c:pt idx="3">
                  <c:v>14</c:v>
                </c:pt>
                <c:pt idx="4">
                  <c:v>11.333333333333334</c:v>
                </c:pt>
                <c:pt idx="5">
                  <c:v>13.333333333333334</c:v>
                </c:pt>
                <c:pt idx="6">
                  <c:v>18.333333333333332</c:v>
                </c:pt>
                <c:pt idx="7">
                  <c:v>12.333333333333334</c:v>
                </c:pt>
                <c:pt idx="8">
                  <c:v>16.333333333333332</c:v>
                </c:pt>
                <c:pt idx="9">
                  <c:v>9</c:v>
                </c:pt>
                <c:pt idx="10">
                  <c:v>26.666666666666668</c:v>
                </c:pt>
                <c:pt idx="11">
                  <c:v>16</c:v>
                </c:pt>
                <c:pt idx="1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A7-2F42-B2BA-7B4BCDFE128B}"/>
            </c:ext>
          </c:extLst>
        </c:ser>
        <c:ser>
          <c:idx val="2"/>
          <c:order val="2"/>
          <c:tx>
            <c:strRef>
              <c:f>'2025'!$D$3</c:f>
              <c:strCache>
                <c:ptCount val="1"/>
                <c:pt idx="0">
                  <c:v>Average of 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'2025'!$D$4:$D$17</c:f>
              <c:numCache>
                <c:formatCode>General</c:formatCode>
                <c:ptCount val="13"/>
                <c:pt idx="0">
                  <c:v>30.666666666666668</c:v>
                </c:pt>
                <c:pt idx="1">
                  <c:v>18.333333333333332</c:v>
                </c:pt>
                <c:pt idx="2">
                  <c:v>33.666666666666664</c:v>
                </c:pt>
                <c:pt idx="3">
                  <c:v>28</c:v>
                </c:pt>
                <c:pt idx="4">
                  <c:v>22.666666666666668</c:v>
                </c:pt>
                <c:pt idx="5">
                  <c:v>27</c:v>
                </c:pt>
                <c:pt idx="6">
                  <c:v>37.666666666666664</c:v>
                </c:pt>
                <c:pt idx="7">
                  <c:v>24.666666666666668</c:v>
                </c:pt>
                <c:pt idx="8">
                  <c:v>33.666666666666664</c:v>
                </c:pt>
                <c:pt idx="9">
                  <c:v>19</c:v>
                </c:pt>
                <c:pt idx="10">
                  <c:v>53</c:v>
                </c:pt>
                <c:pt idx="11">
                  <c:v>32</c:v>
                </c:pt>
                <c:pt idx="1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A7-2F42-B2BA-7B4BCDFE128B}"/>
            </c:ext>
          </c:extLst>
        </c:ser>
        <c:ser>
          <c:idx val="3"/>
          <c:order val="3"/>
          <c:tx>
            <c:strRef>
              <c:f>'2025'!$E$3</c:f>
              <c:strCache>
                <c:ptCount val="1"/>
                <c:pt idx="0">
                  <c:v>Average of 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'2025'!$E$4:$E$17</c:f>
              <c:numCache>
                <c:formatCode>General</c:formatCode>
                <c:ptCount val="13"/>
                <c:pt idx="0">
                  <c:v>6.833333333333333</c:v>
                </c:pt>
                <c:pt idx="1">
                  <c:v>6.5133333333333328</c:v>
                </c:pt>
                <c:pt idx="2">
                  <c:v>6.9600000000000009</c:v>
                </c:pt>
                <c:pt idx="3">
                  <c:v>6.8433333333333337</c:v>
                </c:pt>
                <c:pt idx="4">
                  <c:v>7.0933333333333337</c:v>
                </c:pt>
                <c:pt idx="5">
                  <c:v>6.919999999999999</c:v>
                </c:pt>
                <c:pt idx="6">
                  <c:v>6.7966666666666669</c:v>
                </c:pt>
                <c:pt idx="7">
                  <c:v>6.9633333333333338</c:v>
                </c:pt>
                <c:pt idx="8">
                  <c:v>7.1533333333333333</c:v>
                </c:pt>
                <c:pt idx="9">
                  <c:v>6.9433333333333342</c:v>
                </c:pt>
                <c:pt idx="10">
                  <c:v>6.79</c:v>
                </c:pt>
                <c:pt idx="11">
                  <c:v>7.0933333333333337</c:v>
                </c:pt>
                <c:pt idx="12">
                  <c:v>6.93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A7-2F42-B2BA-7B4BCDFE128B}"/>
            </c:ext>
          </c:extLst>
        </c:ser>
        <c:ser>
          <c:idx val="4"/>
          <c:order val="4"/>
          <c:tx>
            <c:strRef>
              <c:f>'2025'!$F$3</c:f>
              <c:strCache>
                <c:ptCount val="1"/>
                <c:pt idx="0">
                  <c:v>Average of DOC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'2025'!$F$4:$F$17</c:f>
              <c:numCache>
                <c:formatCode>General</c:formatCode>
                <c:ptCount val="13"/>
                <c:pt idx="0">
                  <c:v>6.0465870048666659</c:v>
                </c:pt>
                <c:pt idx="1">
                  <c:v>4.8022898885333332</c:v>
                </c:pt>
                <c:pt idx="2">
                  <c:v>5.5236756442666648</c:v>
                </c:pt>
                <c:pt idx="3">
                  <c:v>4.9469873982666668</c:v>
                </c:pt>
                <c:pt idx="4">
                  <c:v>4.1064155396666671</c:v>
                </c:pt>
                <c:pt idx="5">
                  <c:v>8.2024251098571419</c:v>
                </c:pt>
                <c:pt idx="6">
                  <c:v>5.4940331291333324</c:v>
                </c:pt>
                <c:pt idx="7">
                  <c:v>4.1537835125000004</c:v>
                </c:pt>
                <c:pt idx="8">
                  <c:v>3.3600619440666666</c:v>
                </c:pt>
                <c:pt idx="9">
                  <c:v>4.4477030789333343</c:v>
                </c:pt>
                <c:pt idx="10">
                  <c:v>4.8881372214666658</c:v>
                </c:pt>
                <c:pt idx="11">
                  <c:v>5.2851403684166671</c:v>
                </c:pt>
                <c:pt idx="12">
                  <c:v>6.1325999963571434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A-2449-89F3-F36A9AD5C78D}"/>
            </c:ext>
          </c:extLst>
        </c:ser>
        <c:ser>
          <c:idx val="5"/>
          <c:order val="5"/>
          <c:tx>
            <c:strRef>
              <c:f>'2025'!$G$3</c:f>
              <c:strCache>
                <c:ptCount val="1"/>
                <c:pt idx="0">
                  <c:v>Average of TDN*100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'2025'!$A$4:$A$17</c:f>
              <c:strCache>
                <c:ptCount val="13"/>
                <c:pt idx="0">
                  <c:v>2025-06-16</c:v>
                </c:pt>
                <c:pt idx="1">
                  <c:v>2025-06-17</c:v>
                </c:pt>
                <c:pt idx="2">
                  <c:v>2025-06-18</c:v>
                </c:pt>
                <c:pt idx="3">
                  <c:v>2025-06-19</c:v>
                </c:pt>
                <c:pt idx="4">
                  <c:v>2025-06-21</c:v>
                </c:pt>
                <c:pt idx="5">
                  <c:v>2025-06-23</c:v>
                </c:pt>
                <c:pt idx="6">
                  <c:v>2025-06-24</c:v>
                </c:pt>
                <c:pt idx="7">
                  <c:v>2025-06-26</c:v>
                </c:pt>
                <c:pt idx="8">
                  <c:v>2025-06-27</c:v>
                </c:pt>
                <c:pt idx="9">
                  <c:v>2025-06-28</c:v>
                </c:pt>
                <c:pt idx="10">
                  <c:v>2025-06-29</c:v>
                </c:pt>
                <c:pt idx="11">
                  <c:v>2025-06-30</c:v>
                </c:pt>
                <c:pt idx="12">
                  <c:v>2025-07-01</c:v>
                </c:pt>
              </c:strCache>
            </c:strRef>
          </c:cat>
          <c:val>
            <c:numRef>
              <c:f>'2025'!$G$4:$G$17</c:f>
              <c:numCache>
                <c:formatCode>General</c:formatCode>
                <c:ptCount val="13"/>
                <c:pt idx="0">
                  <c:v>47.222585199999997</c:v>
                </c:pt>
                <c:pt idx="1">
                  <c:v>30.693691104166671</c:v>
                </c:pt>
                <c:pt idx="2">
                  <c:v>52.106756036363635</c:v>
                </c:pt>
                <c:pt idx="3">
                  <c:v>42.214386460909097</c:v>
                </c:pt>
                <c:pt idx="4">
                  <c:v>29.23217449454545</c:v>
                </c:pt>
                <c:pt idx="5">
                  <c:v>54.587404904166682</c:v>
                </c:pt>
                <c:pt idx="6">
                  <c:v>32.387805440000001</c:v>
                </c:pt>
                <c:pt idx="7">
                  <c:v>22.467287998333333</c:v>
                </c:pt>
                <c:pt idx="8">
                  <c:v>25.362220578181816</c:v>
                </c:pt>
                <c:pt idx="9">
                  <c:v>20.616093449090915</c:v>
                </c:pt>
                <c:pt idx="10">
                  <c:v>28.279279456666668</c:v>
                </c:pt>
                <c:pt idx="11">
                  <c:v>36.06835705538461</c:v>
                </c:pt>
                <c:pt idx="12">
                  <c:v>35.329257564166667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A-2449-89F3-F36A9AD5C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583888"/>
        <c:axId val="2065869151"/>
      </c:lineChart>
      <c:catAx>
        <c:axId val="2695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69151"/>
        <c:crosses val="autoZero"/>
        <c:auto val="1"/>
        <c:lblAlgn val="ctr"/>
        <c:lblOffset val="100"/>
        <c:noMultiLvlLbl val="0"/>
      </c:catAx>
      <c:valAx>
        <c:axId val="20658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[Water_Quality_data_explore.xlsx]2024bg!PivotTable1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'2024bg'!$B$4</c:f>
              <c:strCache>
                <c:ptCount val="1"/>
                <c:pt idx="0">
                  <c:v>Average of Alkalinity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'2024bg'!$B$5:$B$8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5D-0344-A006-6922EC534E99}"/>
            </c:ext>
          </c:extLst>
        </c:ser>
        <c:ser>
          <c:idx val="1"/>
          <c:order val="1"/>
          <c:tx>
            <c:strRef>
              <c:f>'2024bg'!$C$4</c:f>
              <c:strCache>
                <c:ptCount val="1"/>
                <c:pt idx="0">
                  <c:v>Average of Dissolved solids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'2024bg'!$C$5:$C$8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35D-0344-A006-6922EC534E99}"/>
            </c:ext>
          </c:extLst>
        </c:ser>
        <c:ser>
          <c:idx val="2"/>
          <c:order val="2"/>
          <c:tx>
            <c:strRef>
              <c:f>'2024bg'!$D$4</c:f>
              <c:strCache>
                <c:ptCount val="1"/>
                <c:pt idx="0">
                  <c:v>Average of 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'2024bg'!$D$5:$D$8</c:f>
              <c:numCache>
                <c:formatCode>General</c:formatCode>
                <c:ptCount val="3"/>
                <c:pt idx="0">
                  <c:v>43.875</c:v>
                </c:pt>
                <c:pt idx="1">
                  <c:v>32.291666666666664</c:v>
                </c:pt>
                <c:pt idx="2">
                  <c:v>35.125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35D-0344-A006-6922EC534E99}"/>
            </c:ext>
          </c:extLst>
        </c:ser>
        <c:ser>
          <c:idx val="3"/>
          <c:order val="3"/>
          <c:tx>
            <c:strRef>
              <c:f>'2024bg'!$E$4</c:f>
              <c:strCache>
                <c:ptCount val="1"/>
                <c:pt idx="0">
                  <c:v>Average of 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'2024bg'!$E$5:$E$8</c:f>
              <c:numCache>
                <c:formatCode>General</c:formatCode>
                <c:ptCount val="3"/>
                <c:pt idx="0">
                  <c:v>7.12</c:v>
                </c:pt>
                <c:pt idx="1">
                  <c:v>7.0766666666666653</c:v>
                </c:pt>
                <c:pt idx="2">
                  <c:v>7.0587499999999999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35D-0344-A006-6922EC534E99}"/>
            </c:ext>
          </c:extLst>
        </c:ser>
        <c:ser>
          <c:idx val="4"/>
          <c:order val="4"/>
          <c:tx>
            <c:strRef>
              <c:f>'2024bg'!$F$4</c:f>
              <c:strCache>
                <c:ptCount val="1"/>
                <c:pt idx="0">
                  <c:v>Average of DOC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'2024bg'!$F$5:$F$8</c:f>
              <c:numCache>
                <c:formatCode>General</c:formatCode>
                <c:ptCount val="3"/>
                <c:pt idx="0">
                  <c:v>4.6270843657</c:v>
                </c:pt>
                <c:pt idx="1">
                  <c:v>2.6155279112007572</c:v>
                </c:pt>
                <c:pt idx="2">
                  <c:v>3.5913836448999996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5D-0344-A006-6922EC534E99}"/>
            </c:ext>
          </c:extLst>
        </c:ser>
        <c:ser>
          <c:idx val="5"/>
          <c:order val="5"/>
          <c:tx>
            <c:strRef>
              <c:f>'2024bg'!$G$4</c:f>
              <c:strCache>
                <c:ptCount val="1"/>
                <c:pt idx="0">
                  <c:v>Average of TDN*100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'2024bg'!$A$5:$A$8</c:f>
              <c:strCache>
                <c:ptCount val="3"/>
                <c:pt idx="0">
                  <c:v>(blank)</c:v>
                </c:pt>
                <c:pt idx="1">
                  <c:v>2024-09-15</c:v>
                </c:pt>
                <c:pt idx="2">
                  <c:v>2024-09-16</c:v>
                </c:pt>
              </c:strCache>
            </c:strRef>
          </c:cat>
          <c:val>
            <c:numRef>
              <c:f>'2024bg'!$G$5:$G$8</c:f>
              <c:numCache>
                <c:formatCode>General</c:formatCode>
                <c:ptCount val="3"/>
                <c:pt idx="0">
                  <c:v>29.455666486045459</c:v>
                </c:pt>
                <c:pt idx="1">
                  <c:v>15.355650440290404</c:v>
                </c:pt>
                <c:pt idx="2">
                  <c:v>20.243864575416666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35D-0344-A006-6922EC534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583888"/>
        <c:axId val="2065869151"/>
      </c:lineChart>
      <c:catAx>
        <c:axId val="2695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69151"/>
        <c:crosses val="autoZero"/>
        <c:auto val="1"/>
        <c:lblAlgn val="ctr"/>
        <c:lblOffset val="100"/>
        <c:noMultiLvlLbl val="0"/>
      </c:catAx>
      <c:valAx>
        <c:axId val="20658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[Water_Quality_data_explore.xlsx]2024sm!PivotTable1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'2024sm'!$B$4</c:f>
              <c:strCache>
                <c:ptCount val="1"/>
                <c:pt idx="0">
                  <c:v>Average of Alkalinity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'2024sm'!$B$5:$B$31</c:f>
              <c:numCache>
                <c:formatCode>General</c:formatCode>
                <c:ptCount val="26"/>
                <c:pt idx="0">
                  <c:v>28</c:v>
                </c:pt>
                <c:pt idx="1">
                  <c:v>22</c:v>
                </c:pt>
                <c:pt idx="2">
                  <c:v>17.333333333333332</c:v>
                </c:pt>
                <c:pt idx="3">
                  <c:v>20.666666666666668</c:v>
                </c:pt>
                <c:pt idx="4">
                  <c:v>26.5</c:v>
                </c:pt>
                <c:pt idx="5">
                  <c:v>27.166666666666668</c:v>
                </c:pt>
                <c:pt idx="6">
                  <c:v>17</c:v>
                </c:pt>
                <c:pt idx="7">
                  <c:v>20.666666666666668</c:v>
                </c:pt>
                <c:pt idx="8">
                  <c:v>22.333333333333332</c:v>
                </c:pt>
                <c:pt idx="9">
                  <c:v>20.75</c:v>
                </c:pt>
                <c:pt idx="10">
                  <c:v>21</c:v>
                </c:pt>
                <c:pt idx="11">
                  <c:v>22.5</c:v>
                </c:pt>
                <c:pt idx="12">
                  <c:v>23</c:v>
                </c:pt>
                <c:pt idx="13">
                  <c:v>22</c:v>
                </c:pt>
                <c:pt idx="14">
                  <c:v>24</c:v>
                </c:pt>
                <c:pt idx="15">
                  <c:v>17.75</c:v>
                </c:pt>
                <c:pt idx="16">
                  <c:v>21</c:v>
                </c:pt>
                <c:pt idx="17">
                  <c:v>36</c:v>
                </c:pt>
                <c:pt idx="18">
                  <c:v>22</c:v>
                </c:pt>
                <c:pt idx="19">
                  <c:v>14</c:v>
                </c:pt>
                <c:pt idx="20">
                  <c:v>25.333333333333332</c:v>
                </c:pt>
                <c:pt idx="21">
                  <c:v>20</c:v>
                </c:pt>
                <c:pt idx="22">
                  <c:v>20</c:v>
                </c:pt>
                <c:pt idx="23">
                  <c:v>16</c:v>
                </c:pt>
                <c:pt idx="24">
                  <c:v>21</c:v>
                </c:pt>
                <c:pt idx="2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5-494E-8F82-F145791A0FD7}"/>
            </c:ext>
          </c:extLst>
        </c:ser>
        <c:ser>
          <c:idx val="1"/>
          <c:order val="1"/>
          <c:tx>
            <c:strRef>
              <c:f>'2024sm'!$C$4</c:f>
              <c:strCache>
                <c:ptCount val="1"/>
                <c:pt idx="0">
                  <c:v>Average of Dissolved solids (ppm)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'2024sm'!$C$5:$C$31</c:f>
              <c:numCache>
                <c:formatCode>General</c:formatCode>
                <c:ptCount val="26"/>
                <c:pt idx="0">
                  <c:v>15.333333333333334</c:v>
                </c:pt>
                <c:pt idx="1">
                  <c:v>12</c:v>
                </c:pt>
                <c:pt idx="2">
                  <c:v>10.333333333333334</c:v>
                </c:pt>
                <c:pt idx="3">
                  <c:v>11</c:v>
                </c:pt>
                <c:pt idx="4">
                  <c:v>10.666666666666666</c:v>
                </c:pt>
                <c:pt idx="5">
                  <c:v>11.5</c:v>
                </c:pt>
                <c:pt idx="6">
                  <c:v>8.5</c:v>
                </c:pt>
                <c:pt idx="7">
                  <c:v>10.666666666666666</c:v>
                </c:pt>
                <c:pt idx="8">
                  <c:v>11.5</c:v>
                </c:pt>
                <c:pt idx="9">
                  <c:v>8.8333333333333339</c:v>
                </c:pt>
                <c:pt idx="10">
                  <c:v>7.166666666666667</c:v>
                </c:pt>
                <c:pt idx="11">
                  <c:v>10</c:v>
                </c:pt>
                <c:pt idx="12">
                  <c:v>12.833333333333334</c:v>
                </c:pt>
                <c:pt idx="13">
                  <c:v>13</c:v>
                </c:pt>
                <c:pt idx="14">
                  <c:v>7</c:v>
                </c:pt>
                <c:pt idx="15">
                  <c:v>9</c:v>
                </c:pt>
                <c:pt idx="16">
                  <c:v>13.333333333333334</c:v>
                </c:pt>
                <c:pt idx="17">
                  <c:v>20</c:v>
                </c:pt>
                <c:pt idx="18">
                  <c:v>8.8333333333333339</c:v>
                </c:pt>
                <c:pt idx="19">
                  <c:v>7</c:v>
                </c:pt>
                <c:pt idx="20">
                  <c:v>12</c:v>
                </c:pt>
                <c:pt idx="21">
                  <c:v>14</c:v>
                </c:pt>
                <c:pt idx="22">
                  <c:v>12.333333333333334</c:v>
                </c:pt>
                <c:pt idx="23">
                  <c:v>14</c:v>
                </c:pt>
                <c:pt idx="24">
                  <c:v>12</c:v>
                </c:pt>
                <c:pt idx="25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5-494E-8F82-F145791A0FD7}"/>
            </c:ext>
          </c:extLst>
        </c:ser>
        <c:ser>
          <c:idx val="2"/>
          <c:order val="2"/>
          <c:tx>
            <c:strRef>
              <c:f>'2024sm'!$D$4</c:f>
              <c:strCache>
                <c:ptCount val="1"/>
                <c:pt idx="0">
                  <c:v>Average of 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'2024sm'!$D$5:$D$31</c:f>
              <c:numCache>
                <c:formatCode>General</c:formatCode>
                <c:ptCount val="26"/>
                <c:pt idx="0">
                  <c:v>30.333333333333332</c:v>
                </c:pt>
                <c:pt idx="1">
                  <c:v>24</c:v>
                </c:pt>
                <c:pt idx="2">
                  <c:v>20.666666666666668</c:v>
                </c:pt>
                <c:pt idx="3">
                  <c:v>22.666666666666668</c:v>
                </c:pt>
                <c:pt idx="4">
                  <c:v>21.5</c:v>
                </c:pt>
                <c:pt idx="5">
                  <c:v>23.166666666666668</c:v>
                </c:pt>
                <c:pt idx="6">
                  <c:v>17.166666666666668</c:v>
                </c:pt>
                <c:pt idx="7">
                  <c:v>21.333333333333332</c:v>
                </c:pt>
                <c:pt idx="8">
                  <c:v>22.333333333333332</c:v>
                </c:pt>
                <c:pt idx="9">
                  <c:v>17.833333333333332</c:v>
                </c:pt>
                <c:pt idx="10">
                  <c:v>14.333333333333334</c:v>
                </c:pt>
                <c:pt idx="11">
                  <c:v>20.833333333333332</c:v>
                </c:pt>
                <c:pt idx="12">
                  <c:v>26</c:v>
                </c:pt>
                <c:pt idx="13">
                  <c:v>26.333333333333332</c:v>
                </c:pt>
                <c:pt idx="14">
                  <c:v>14</c:v>
                </c:pt>
                <c:pt idx="15">
                  <c:v>17.5</c:v>
                </c:pt>
                <c:pt idx="16">
                  <c:v>26.833333333333332</c:v>
                </c:pt>
                <c:pt idx="17">
                  <c:v>41</c:v>
                </c:pt>
                <c:pt idx="18">
                  <c:v>17</c:v>
                </c:pt>
                <c:pt idx="19">
                  <c:v>14</c:v>
                </c:pt>
                <c:pt idx="20">
                  <c:v>24</c:v>
                </c:pt>
                <c:pt idx="21">
                  <c:v>28.333333333333332</c:v>
                </c:pt>
                <c:pt idx="22">
                  <c:v>25</c:v>
                </c:pt>
                <c:pt idx="23">
                  <c:v>27.333333333333332</c:v>
                </c:pt>
                <c:pt idx="24">
                  <c:v>24</c:v>
                </c:pt>
                <c:pt idx="25">
                  <c:v>28.666666666666668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C5-494E-8F82-F145791A0FD7}"/>
            </c:ext>
          </c:extLst>
        </c:ser>
        <c:ser>
          <c:idx val="3"/>
          <c:order val="3"/>
          <c:tx>
            <c:strRef>
              <c:f>'2024sm'!$E$4</c:f>
              <c:strCache>
                <c:ptCount val="1"/>
                <c:pt idx="0">
                  <c:v>Average of 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'2024sm'!$E$5:$E$31</c:f>
              <c:numCache>
                <c:formatCode>General</c:formatCode>
                <c:ptCount val="26"/>
                <c:pt idx="0">
                  <c:v>7.0233333333333334</c:v>
                </c:pt>
                <c:pt idx="1">
                  <c:v>6.8866666666666667</c:v>
                </c:pt>
                <c:pt idx="2">
                  <c:v>7.09</c:v>
                </c:pt>
                <c:pt idx="3">
                  <c:v>7.1533333333333333</c:v>
                </c:pt>
                <c:pt idx="4">
                  <c:v>7.0166666666666657</c:v>
                </c:pt>
                <c:pt idx="5">
                  <c:v>6.9249999999999998</c:v>
                </c:pt>
                <c:pt idx="6">
                  <c:v>6.8416666666666659</c:v>
                </c:pt>
                <c:pt idx="7">
                  <c:v>7.05</c:v>
                </c:pt>
                <c:pt idx="8">
                  <c:v>6.9050000000000002</c:v>
                </c:pt>
                <c:pt idx="9">
                  <c:v>6.6883333333333326</c:v>
                </c:pt>
                <c:pt idx="10">
                  <c:v>6.2383333333333342</c:v>
                </c:pt>
                <c:pt idx="11">
                  <c:v>7.0216666666666656</c:v>
                </c:pt>
                <c:pt idx="12">
                  <c:v>6.9233333333333329</c:v>
                </c:pt>
                <c:pt idx="13">
                  <c:v>7.0466666666666669</c:v>
                </c:pt>
                <c:pt idx="14">
                  <c:v>5.5233333333333334</c:v>
                </c:pt>
                <c:pt idx="15">
                  <c:v>6.8983333333333334</c:v>
                </c:pt>
                <c:pt idx="16">
                  <c:v>7.1233333333333322</c:v>
                </c:pt>
                <c:pt idx="17">
                  <c:v>7.47</c:v>
                </c:pt>
                <c:pt idx="18">
                  <c:v>6.873333333333334</c:v>
                </c:pt>
                <c:pt idx="19">
                  <c:v>6.8966666666666674</c:v>
                </c:pt>
                <c:pt idx="20">
                  <c:v>7.25</c:v>
                </c:pt>
                <c:pt idx="21">
                  <c:v>7.32</c:v>
                </c:pt>
                <c:pt idx="22">
                  <c:v>7.3133333333333335</c:v>
                </c:pt>
                <c:pt idx="23">
                  <c:v>7.06</c:v>
                </c:pt>
                <c:pt idx="24">
                  <c:v>7.18</c:v>
                </c:pt>
                <c:pt idx="25">
                  <c:v>7.0166666666666666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C5-494E-8F82-F145791A0FD7}"/>
            </c:ext>
          </c:extLst>
        </c:ser>
        <c:ser>
          <c:idx val="4"/>
          <c:order val="4"/>
          <c:tx>
            <c:strRef>
              <c:f>'2024sm'!$F$4</c:f>
              <c:strCache>
                <c:ptCount val="1"/>
                <c:pt idx="0">
                  <c:v>Average of DOC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'2024sm'!$F$5:$F$31</c:f>
              <c:numCache>
                <c:formatCode>General</c:formatCode>
                <c:ptCount val="26"/>
                <c:pt idx="0">
                  <c:v>5.3722202707142861</c:v>
                </c:pt>
                <c:pt idx="1">
                  <c:v>4.9113413028749999</c:v>
                </c:pt>
                <c:pt idx="2">
                  <c:v>5.5956409627499992</c:v>
                </c:pt>
                <c:pt idx="3">
                  <c:v>3.963664235</c:v>
                </c:pt>
                <c:pt idx="4">
                  <c:v>5.5546835469285716</c:v>
                </c:pt>
                <c:pt idx="5">
                  <c:v>6.9739925802619034</c:v>
                </c:pt>
                <c:pt idx="6">
                  <c:v>6.3354470320803573</c:v>
                </c:pt>
                <c:pt idx="7">
                  <c:v>4.3790311892589289</c:v>
                </c:pt>
                <c:pt idx="8">
                  <c:v>4.544729420705357</c:v>
                </c:pt>
                <c:pt idx="9">
                  <c:v>5.051088437401785</c:v>
                </c:pt>
                <c:pt idx="10">
                  <c:v>7.948219699428571</c:v>
                </c:pt>
                <c:pt idx="11">
                  <c:v>4.5113548748571421</c:v>
                </c:pt>
                <c:pt idx="12">
                  <c:v>5.7123453016874999</c:v>
                </c:pt>
                <c:pt idx="13">
                  <c:v>6.0232914081428577</c:v>
                </c:pt>
                <c:pt idx="14">
                  <c:v>9.5248869962500002</c:v>
                </c:pt>
                <c:pt idx="15">
                  <c:v>3.7601925843571422</c:v>
                </c:pt>
                <c:pt idx="16">
                  <c:v>4.7928243298571429</c:v>
                </c:pt>
                <c:pt idx="17">
                  <c:v>3.0154098606666664</c:v>
                </c:pt>
                <c:pt idx="18">
                  <c:v>4.6735248293690477</c:v>
                </c:pt>
                <c:pt idx="19">
                  <c:v>4.4489015867499999</c:v>
                </c:pt>
                <c:pt idx="20">
                  <c:v>4.3151695769999998</c:v>
                </c:pt>
                <c:pt idx="21">
                  <c:v>4.3964300841249999</c:v>
                </c:pt>
                <c:pt idx="22">
                  <c:v>3.152495407</c:v>
                </c:pt>
                <c:pt idx="23">
                  <c:v>7.2656423791428564</c:v>
                </c:pt>
                <c:pt idx="24">
                  <c:v>4.7089917621428565</c:v>
                </c:pt>
                <c:pt idx="25">
                  <c:v>4.6439338415714291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B-BA46-9C01-719C6EB4E2DB}"/>
            </c:ext>
          </c:extLst>
        </c:ser>
        <c:ser>
          <c:idx val="5"/>
          <c:order val="5"/>
          <c:tx>
            <c:strRef>
              <c:f>'2024sm'!$G$4</c:f>
              <c:strCache>
                <c:ptCount val="1"/>
                <c:pt idx="0">
                  <c:v>Average of TDN*100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'2024sm'!$A$5:$A$31</c:f>
              <c:strCache>
                <c:ptCount val="26"/>
                <c:pt idx="0">
                  <c:v>2024-06-03</c:v>
                </c:pt>
                <c:pt idx="1">
                  <c:v>2024-06-04</c:v>
                </c:pt>
                <c:pt idx="2">
                  <c:v>2024-06-05</c:v>
                </c:pt>
                <c:pt idx="3">
                  <c:v>2024-06-07</c:v>
                </c:pt>
                <c:pt idx="4">
                  <c:v>2024-06-08</c:v>
                </c:pt>
                <c:pt idx="5">
                  <c:v>2024-06-09</c:v>
                </c:pt>
                <c:pt idx="6">
                  <c:v>2024-06-10</c:v>
                </c:pt>
                <c:pt idx="7">
                  <c:v>2024-06-11</c:v>
                </c:pt>
                <c:pt idx="8">
                  <c:v>2024-06-12</c:v>
                </c:pt>
                <c:pt idx="9">
                  <c:v>2024-06-14</c:v>
                </c:pt>
                <c:pt idx="10">
                  <c:v>2024-06-15</c:v>
                </c:pt>
                <c:pt idx="11">
                  <c:v>2024-06-17</c:v>
                </c:pt>
                <c:pt idx="12">
                  <c:v>2024-06-18</c:v>
                </c:pt>
                <c:pt idx="13">
                  <c:v>2024-06-19</c:v>
                </c:pt>
                <c:pt idx="14">
                  <c:v>2024-06-20</c:v>
                </c:pt>
                <c:pt idx="15">
                  <c:v>2024-06-21</c:v>
                </c:pt>
                <c:pt idx="16">
                  <c:v>2024-06-22</c:v>
                </c:pt>
                <c:pt idx="17">
                  <c:v>2024-06-23</c:v>
                </c:pt>
                <c:pt idx="18">
                  <c:v>2024-06-25</c:v>
                </c:pt>
                <c:pt idx="19">
                  <c:v>2024-06-27</c:v>
                </c:pt>
                <c:pt idx="20">
                  <c:v>2024-06-28</c:v>
                </c:pt>
                <c:pt idx="21">
                  <c:v>2024-06-29</c:v>
                </c:pt>
                <c:pt idx="22">
                  <c:v>2024-06-30</c:v>
                </c:pt>
                <c:pt idx="23">
                  <c:v>2024-07-01</c:v>
                </c:pt>
                <c:pt idx="24">
                  <c:v>2024-07-02</c:v>
                </c:pt>
                <c:pt idx="25">
                  <c:v>2024-07-08</c:v>
                </c:pt>
              </c:strCache>
            </c:strRef>
          </c:cat>
          <c:val>
            <c:numRef>
              <c:f>'2024sm'!$G$5:$G$31</c:f>
              <c:numCache>
                <c:formatCode>General</c:formatCode>
                <c:ptCount val="26"/>
                <c:pt idx="0">
                  <c:v>19.218306695000003</c:v>
                </c:pt>
                <c:pt idx="1">
                  <c:v>16.226986640000003</c:v>
                </c:pt>
                <c:pt idx="2">
                  <c:v>16.063946271428573</c:v>
                </c:pt>
                <c:pt idx="3">
                  <c:v>16.883278641666667</c:v>
                </c:pt>
                <c:pt idx="4">
                  <c:v>17.014453272053572</c:v>
                </c:pt>
                <c:pt idx="5">
                  <c:v>22.767010545833333</c:v>
                </c:pt>
                <c:pt idx="6">
                  <c:v>19.97734968875</c:v>
                </c:pt>
                <c:pt idx="7">
                  <c:v>16.585991929374995</c:v>
                </c:pt>
                <c:pt idx="8">
                  <c:v>13.466989867321429</c:v>
                </c:pt>
                <c:pt idx="9">
                  <c:v>15.488605536875001</c:v>
                </c:pt>
                <c:pt idx="10">
                  <c:v>24.413810683571427</c:v>
                </c:pt>
                <c:pt idx="11">
                  <c:v>13.431457049464287</c:v>
                </c:pt>
                <c:pt idx="12">
                  <c:v>19.161494084285717</c:v>
                </c:pt>
                <c:pt idx="13">
                  <c:v>22.260596231428575</c:v>
                </c:pt>
                <c:pt idx="14">
                  <c:v>24.953892622499996</c:v>
                </c:pt>
                <c:pt idx="15">
                  <c:v>13.945246468125001</c:v>
                </c:pt>
                <c:pt idx="16">
                  <c:v>15.043213324999998</c:v>
                </c:pt>
                <c:pt idx="17">
                  <c:v>10.177391253333333</c:v>
                </c:pt>
                <c:pt idx="18">
                  <c:v>18.426590591339288</c:v>
                </c:pt>
                <c:pt idx="19">
                  <c:v>13.668485026666668</c:v>
                </c:pt>
                <c:pt idx="20">
                  <c:v>13.79803104</c:v>
                </c:pt>
                <c:pt idx="21">
                  <c:v>19.056448147142856</c:v>
                </c:pt>
                <c:pt idx="22">
                  <c:v>12.29751201857143</c:v>
                </c:pt>
                <c:pt idx="23">
                  <c:v>29.530455507499997</c:v>
                </c:pt>
                <c:pt idx="24">
                  <c:v>23.313117568124998</c:v>
                </c:pt>
                <c:pt idx="25">
                  <c:v>24.243231601249999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2B-BA46-9C01-719C6EB4E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583888"/>
        <c:axId val="2065869151"/>
      </c:lineChart>
      <c:catAx>
        <c:axId val="26958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869151"/>
        <c:crosses val="autoZero"/>
        <c:auto val="1"/>
        <c:lblAlgn val="ctr"/>
        <c:lblOffset val="100"/>
        <c:noMultiLvlLbl val="0"/>
      </c:catAx>
      <c:valAx>
        <c:axId val="20658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704850</xdr:colOff>
      <xdr:row>1</xdr:row>
      <xdr:rowOff>57150</xdr:rowOff>
    </xdr:from>
    <xdr:to>
      <xdr:col>20</xdr:col>
      <xdr:colOff>774700</xdr:colOff>
      <xdr:row>41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C7D49-6A92-084D-AA1A-076DA5B65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539750</xdr:colOff>
      <xdr:row>1</xdr:row>
      <xdr:rowOff>158750</xdr:rowOff>
    </xdr:from>
    <xdr:to>
      <xdr:col>19</xdr:col>
      <xdr:colOff>723900</xdr:colOff>
      <xdr:row>42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8A779-EC29-DB48-BC76-A8793584A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539750</xdr:colOff>
      <xdr:row>1</xdr:row>
      <xdr:rowOff>158750</xdr:rowOff>
    </xdr:from>
    <xdr:to>
      <xdr:col>19</xdr:col>
      <xdr:colOff>723900</xdr:colOff>
      <xdr:row>42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D64A2-20C9-A470-837C-123D0EB0B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83.433394907406" createdVersion="8" refreshedVersion="8" minRefreshableVersion="3" recordCount="1118" xr:uid="{4C2561F3-6E40-3649-9CA8-0403D825C8E8}">
  <cacheSource type="worksheet">
    <worksheetSource ref="A1:Q1048576" sheet="Data"/>
  </cacheSource>
  <cacheFields count="20">
    <cacheField name="Site code" numFmtId="0">
      <sharedItems containsBlank="1"/>
    </cacheField>
    <cacheField name="Trib size" numFmtId="0">
      <sharedItems containsBlank="1" count="3">
        <s v="Sm"/>
        <s v="Bg"/>
        <m/>
      </sharedItems>
    </cacheField>
    <cacheField name="Date" numFmtId="14">
      <sharedItems containsNonDate="0" containsDate="1" containsString="0" containsBlank="1" minDate="2024-06-03T00:00:00" maxDate="2025-07-02T00:00:00" count="42">
        <d v="2024-06-03T00:00:00"/>
        <d v="2024-06-04T00:00:00"/>
        <d v="2024-06-05T00:00:00"/>
        <d v="2024-06-07T00:00:00"/>
        <d v="2024-06-08T00:00:00"/>
        <d v="2024-06-09T00:00:00"/>
        <d v="2024-06-10T00:00:00"/>
        <d v="2024-06-11T00:00:00"/>
        <d v="2024-06-12T00:00:00"/>
        <d v="2024-06-14T00:00:00"/>
        <d v="2024-06-15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7T00:00:00"/>
        <d v="2024-06-28T00:00:00"/>
        <d v="2024-06-29T00:00:00"/>
        <d v="2024-06-30T00:00:00"/>
        <d v="2024-07-01T00:00:00"/>
        <d v="2024-07-02T00:00:00"/>
        <d v="2024-07-08T00:00:00"/>
        <d v="2025-06-16T00:00:00"/>
        <d v="2025-06-17T00:00:00"/>
        <d v="2025-06-18T00:00:00"/>
        <d v="2025-06-19T00:00:00"/>
        <d v="2025-06-21T00:00:00"/>
        <d v="2025-06-23T00:00:00"/>
        <d v="2025-06-24T00:00:00"/>
        <d v="2025-06-26T00:00:00"/>
        <d v="2025-06-27T00:00:00"/>
        <d v="2025-06-28T00:00:00"/>
        <d v="2025-06-29T00:00:00"/>
        <d v="2025-06-30T00:00:00"/>
        <d v="2025-07-01T00:00:00"/>
        <d v="2024-09-15T00:00:00"/>
        <m/>
        <d v="2024-09-16T00:00:00"/>
      </sharedItems>
      <fieldGroup par="17"/>
    </cacheField>
    <cacheField name="Year" numFmtId="0">
      <sharedItems containsString="0" containsBlank="1" containsNumber="1" containsInteger="1" minValue="2024" maxValue="2025" count="3">
        <n v="2024"/>
        <n v="2025"/>
        <m/>
      </sharedItems>
    </cacheField>
    <cacheField name="Downstream coords" numFmtId="0">
      <sharedItems containsBlank="1"/>
    </cacheField>
    <cacheField name="Upstream coords" numFmtId="0">
      <sharedItems containsBlank="1"/>
    </cacheField>
    <cacheField name="Combo meter sample #" numFmtId="0">
      <sharedItems containsString="0" containsBlank="1" containsNumber="1" containsInteger="1" minValue="1" maxValue="33"/>
    </cacheField>
    <cacheField name="Water temp" numFmtId="0">
      <sharedItems containsString="0" containsBlank="1" containsNumber="1" minValue="11.5" maxValue="29.1"/>
    </cacheField>
    <cacheField name="pH" numFmtId="0">
      <sharedItems containsString="0" containsBlank="1" containsNumber="1" minValue="5.5" maxValue="7.47"/>
    </cacheField>
    <cacheField name="EC" numFmtId="0">
      <sharedItems containsString="0" containsBlank="1" containsNumber="1" minValue="13" maxValue="53"/>
    </cacheField>
    <cacheField name="Dissolved solids (ppm)" numFmtId="0">
      <sharedItems containsString="0" containsBlank="1" containsNumber="1" containsInteger="1" minValue="6" maxValue="27"/>
    </cacheField>
    <cacheField name="Alkalinity (ppm)" numFmtId="0">
      <sharedItems containsString="0" containsBlank="1" containsNumber="1" containsInteger="1" minValue="12" maxValue="56"/>
    </cacheField>
    <cacheField name="DOC" numFmtId="0">
      <sharedItems containsString="0" containsBlank="1" containsNumber="1" minValue="1.5713926381818184" maxValue="11.762771775000001"/>
    </cacheField>
    <cacheField name="TDN" numFmtId="0">
      <sharedItems containsString="0" containsBlank="1" containsNumber="1" minValue="8.4632308062499995E-2" maxValue="0.54587404904166681"/>
    </cacheField>
    <cacheField name="TDN*100" numFmtId="0">
      <sharedItems containsString="0" containsBlank="1" containsNumber="1" minValue="8.4632308062499995" maxValue="54.587404904166682"/>
    </cacheField>
    <cacheField name="Months (Date)" numFmtId="0" databaseField="0">
      <fieldGroup base="2">
        <rangePr groupBy="months" startDate="2024-06-03T00:00:00" endDate="2025-07-02T00:00:00"/>
        <groupItems count="14">
          <s v="&lt;2024-06-0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5-07-02"/>
        </groupItems>
      </fieldGroup>
    </cacheField>
    <cacheField name="Quarters (Date)" numFmtId="0" databaseField="0">
      <fieldGroup base="2">
        <rangePr groupBy="quarters" startDate="2024-06-03T00:00:00" endDate="2025-07-02T00:00:00"/>
        <groupItems count="6">
          <s v="&lt;2024-06-03"/>
          <s v="Qtr1"/>
          <s v="Qtr2"/>
          <s v="Qtr3"/>
          <s v="Qtr4"/>
          <s v="&gt;2025-07-02"/>
        </groupItems>
      </fieldGroup>
    </cacheField>
    <cacheField name="Years (Date)" numFmtId="0" databaseField="0">
      <fieldGroup base="2">
        <rangePr groupBy="years" startDate="2024-06-03T00:00:00" endDate="2025-07-02T00:00:00"/>
        <groupItems count="4">
          <s v="&lt;2024-06-03"/>
          <s v="2024"/>
          <s v="2025"/>
          <s v="&gt;2025-07-02"/>
        </groupItems>
      </fieldGroup>
    </cacheField>
    <cacheField name="Avg TDN*100" numFmtId="0" formula=" AVERAGE(TDN)*100" databaseField="0"/>
    <cacheField name="TDN*100_2" numFmtId="0" formula="TDN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8">
  <r>
    <s v="GWB-GW-1"/>
    <x v="0"/>
    <x v="0"/>
    <x v="0"/>
    <s v="N 48.91798, W 55.64824"/>
    <s v="N 48.91731, W 55.64837"/>
    <n v="1"/>
    <n v="13.3"/>
    <n v="7.01"/>
    <n v="31"/>
    <n v="15"/>
    <n v="40"/>
    <n v="5.3722202707142861"/>
    <n v="0.19218306695000001"/>
    <n v="19.218306695000003"/>
  </r>
  <r>
    <s v="GWB-GW-1"/>
    <x v="0"/>
    <x v="0"/>
    <x v="0"/>
    <s v="N 48.91798, W 55.64824"/>
    <s v="N 48.91731, W 55.64837"/>
    <n v="2"/>
    <n v="13.3"/>
    <n v="7.03"/>
    <n v="31"/>
    <n v="16"/>
    <n v="20"/>
    <n v="5.3722202707142861"/>
    <n v="0.19218306695000001"/>
    <n v="19.218306695000003"/>
  </r>
  <r>
    <s v="GWB-GW-1"/>
    <x v="0"/>
    <x v="0"/>
    <x v="0"/>
    <s v="N 48.91798, W 55.64824"/>
    <s v="N 48.91731, W 55.64837"/>
    <n v="3"/>
    <n v="13.3"/>
    <n v="7.03"/>
    <n v="29"/>
    <n v="15"/>
    <n v="24"/>
    <n v="5.3722202707142861"/>
    <n v="0.19218306695000001"/>
    <n v="19.218306695000003"/>
  </r>
  <r>
    <s v="JPB-JB-1"/>
    <x v="0"/>
    <x v="1"/>
    <x v="0"/>
    <s v="N 49.02197, W 55.39803"/>
    <s v="N 49.02148, W 55.39841"/>
    <n v="1"/>
    <n v="12.8"/>
    <n v="6.87"/>
    <n v="24"/>
    <n v="12"/>
    <n v="18"/>
    <n v="4.9113413028749999"/>
    <n v="0.16226986640000002"/>
    <n v="16.226986640000003"/>
  </r>
  <r>
    <s v="JPB-JB-1"/>
    <x v="0"/>
    <x v="1"/>
    <x v="0"/>
    <s v="N 49.02197, W 55.39803"/>
    <s v="N 49.02148, W 55.39841"/>
    <n v="2"/>
    <n v="12.8"/>
    <n v="6.89"/>
    <n v="24"/>
    <n v="12"/>
    <n v="20"/>
    <n v="4.9113413028749999"/>
    <n v="0.16226986640000002"/>
    <n v="16.226986640000003"/>
  </r>
  <r>
    <s v="JPB-JB-1"/>
    <x v="0"/>
    <x v="1"/>
    <x v="0"/>
    <s v="N 49.02197, W 55.39803"/>
    <s v="N 49.02148, W 55.39841"/>
    <n v="3"/>
    <n v="12.8"/>
    <n v="6.9"/>
    <n v="24"/>
    <n v="12"/>
    <n v="28"/>
    <n v="4.9113413028749999"/>
    <n v="0.16226986640000002"/>
    <n v="16.226986640000003"/>
  </r>
  <r>
    <s v="BGB-RK-1"/>
    <x v="0"/>
    <x v="2"/>
    <x v="0"/>
    <s v="N 49.06106, W 56.10947"/>
    <s v="N 49.06115, W 56.11103"/>
    <n v="1"/>
    <n v="11.6"/>
    <n v="7.1"/>
    <n v="24"/>
    <n v="12"/>
    <n v="20"/>
    <n v="5.5956409627499992"/>
    <n v="0.16063946271428572"/>
    <n v="16.063946271428573"/>
  </r>
  <r>
    <s v="BGB-RK-1"/>
    <x v="0"/>
    <x v="2"/>
    <x v="0"/>
    <s v="N 49.06106, W 56.10947"/>
    <s v="N 49.06115, W 56.11103"/>
    <n v="2"/>
    <n v="11.6"/>
    <n v="7.09"/>
    <n v="20"/>
    <n v="10"/>
    <n v="16"/>
    <n v="5.5956409627499992"/>
    <n v="0.16063946271428572"/>
    <n v="16.063946271428573"/>
  </r>
  <r>
    <s v="BGB-RK-1"/>
    <x v="0"/>
    <x v="2"/>
    <x v="0"/>
    <s v="N 49.06106, W 56.10947"/>
    <s v="N 49.06115, W 56.11103"/>
    <n v="3"/>
    <n v="11.5"/>
    <n v="7.08"/>
    <n v="18"/>
    <n v="9"/>
    <n v="16"/>
    <n v="5.5956409627499992"/>
    <n v="0.16063946271428572"/>
    <n v="16.063946271428573"/>
  </r>
  <r>
    <s v="GRB-TH-1"/>
    <x v="0"/>
    <x v="3"/>
    <x v="0"/>
    <s v="N 48.91158, W 55.53745"/>
    <s v="N 48.91119, W 55.53818"/>
    <n v="1"/>
    <n v="13.9"/>
    <n v="7.18"/>
    <n v="23"/>
    <n v="11"/>
    <n v="20"/>
    <n v="3.963664235"/>
    <n v="0.16883278641666669"/>
    <n v="16.883278641666667"/>
  </r>
  <r>
    <s v="GRB-TH-1"/>
    <x v="0"/>
    <x v="3"/>
    <x v="0"/>
    <s v="N 48.91158, W 55.53745"/>
    <s v="N 48.91119, W 55.53818"/>
    <n v="2"/>
    <n v="13.9"/>
    <n v="7.15"/>
    <n v="23"/>
    <n v="11"/>
    <n v="22"/>
    <n v="3.963664235"/>
    <n v="0.16883278641666669"/>
    <n v="16.883278641666667"/>
  </r>
  <r>
    <s v="GRB-TH-1"/>
    <x v="0"/>
    <x v="3"/>
    <x v="0"/>
    <s v="N 48.91158, W 55.53745"/>
    <s v="N 48.91119, W 55.53818"/>
    <n v="3"/>
    <n v="13.8"/>
    <n v="7.13"/>
    <n v="22"/>
    <n v="11"/>
    <n v="20"/>
    <n v="3.963664235"/>
    <n v="0.16883278641666669"/>
    <n v="16.883278641666667"/>
  </r>
  <r>
    <s v="LRI-LR-1"/>
    <x v="0"/>
    <x v="4"/>
    <x v="0"/>
    <s v="N 48.92064, W 56.18985"/>
    <s v="N 48.92012, W 56.19001"/>
    <n v="1"/>
    <n v="14.4"/>
    <n v="6.99"/>
    <n v="23"/>
    <n v="12"/>
    <n v="28"/>
    <n v="5.0880639304285724"/>
    <n v="0.18007526212857144"/>
    <n v="18.007526212857144"/>
  </r>
  <r>
    <s v="LRI-LR-1"/>
    <x v="0"/>
    <x v="4"/>
    <x v="0"/>
    <s v="N 48.92064, W 56.18985"/>
    <s v="N 48.92012, W 56.19001"/>
    <n v="2"/>
    <n v="14.6"/>
    <n v="6.99"/>
    <n v="23"/>
    <n v="11"/>
    <n v="24"/>
    <n v="5.0880639304285724"/>
    <n v="0.18007526212857144"/>
    <n v="18.007526212857144"/>
  </r>
  <r>
    <s v="LRI-LR-1"/>
    <x v="0"/>
    <x v="4"/>
    <x v="0"/>
    <s v="N 48.92064, W 56.18985"/>
    <s v="N 48.92012, W 56.19001"/>
    <n v="3"/>
    <n v="14.5"/>
    <n v="6.96"/>
    <n v="22"/>
    <n v="11"/>
    <n v="24"/>
    <n v="5.0880639304285724"/>
    <n v="0.18007526212857144"/>
    <n v="18.007526212857144"/>
  </r>
  <r>
    <s v="MRM-JG-1"/>
    <x v="0"/>
    <x v="4"/>
    <x v="0"/>
    <s v="N 48.86467, W 56.44006"/>
    <s v="N 48.86519, W 56.43868"/>
    <n v="1"/>
    <n v="15.5"/>
    <n v="7.06"/>
    <n v="21"/>
    <n v="10"/>
    <n v="22"/>
    <n v="6.0213031634285707"/>
    <n v="0.16021380331250001"/>
    <n v="16.02138033125"/>
  </r>
  <r>
    <s v="MRM-JG-1"/>
    <x v="0"/>
    <x v="4"/>
    <x v="0"/>
    <s v="N 48.86467, W 56.44006"/>
    <s v="N 48.86519, W 56.43868"/>
    <n v="2"/>
    <n v="15.4"/>
    <n v="7.05"/>
    <n v="20"/>
    <n v="10"/>
    <n v="32"/>
    <n v="6.0213031634285707"/>
    <n v="0.16021380331250001"/>
    <n v="16.02138033125"/>
  </r>
  <r>
    <s v="MRM-JG-1"/>
    <x v="0"/>
    <x v="4"/>
    <x v="0"/>
    <s v="N 48.86467, W 56.44006"/>
    <s v="N 48.86519, W 56.43868"/>
    <n v="3"/>
    <n v="15.4"/>
    <n v="7.05"/>
    <n v="20"/>
    <n v="10"/>
    <n v="29"/>
    <n v="6.0213031634285707"/>
    <n v="0.16021380331250001"/>
    <n v="16.02138033125"/>
  </r>
  <r>
    <s v="GRB-RP-2"/>
    <x v="0"/>
    <x v="5"/>
    <x v="0"/>
    <s v="N 48.74380, W 55.52758"/>
    <s v="N 48.74296, W 55.52735"/>
    <n v="1"/>
    <n v="16.899999999999999"/>
    <n v="6.77"/>
    <n v="22"/>
    <n v="11"/>
    <n v="44"/>
    <n v="7.3073886238571424"/>
    <n v="0.23219911330000001"/>
    <n v="23.219911330000002"/>
  </r>
  <r>
    <s v="GRB-RP-2"/>
    <x v="0"/>
    <x v="5"/>
    <x v="0"/>
    <s v="N 48.74380, W 55.52758"/>
    <s v="N 48.74296, W 55.52735"/>
    <n v="2"/>
    <n v="16.899999999999999"/>
    <n v="6.8"/>
    <n v="22"/>
    <n v="11"/>
    <n v="24"/>
    <n v="7.3073886238571424"/>
    <n v="0.23219911330000001"/>
    <n v="23.219911330000002"/>
  </r>
  <r>
    <s v="GRB-RP-2"/>
    <x v="0"/>
    <x v="5"/>
    <x v="0"/>
    <s v="N 48.74380, W 55.52758"/>
    <s v="N 48.74296, W 55.52735"/>
    <n v="3"/>
    <n v="16.899999999999999"/>
    <n v="6.8"/>
    <n v="21"/>
    <n v="11"/>
    <n v="24"/>
    <n v="7.3073886238571424"/>
    <n v="0.23219911330000001"/>
    <n v="23.219911330000002"/>
  </r>
  <r>
    <s v="TJB-TJ-1"/>
    <x v="0"/>
    <x v="5"/>
    <x v="0"/>
    <s v="N 48.92785, W 55.95797"/>
    <s v="N 48.92738, W 55.95863"/>
    <n v="1"/>
    <n v="14.8"/>
    <n v="7.07"/>
    <n v="25"/>
    <n v="12"/>
    <n v="24"/>
    <n v="6.6405965366666662"/>
    <n v="0.22314109761666667"/>
    <n v="22.314109761666668"/>
  </r>
  <r>
    <s v="TJB-TJ-1"/>
    <x v="0"/>
    <x v="5"/>
    <x v="0"/>
    <s v="N 48.92785, W 55.95797"/>
    <s v="N 48.92738, W 55.95863"/>
    <n v="2"/>
    <n v="14.6"/>
    <n v="7.06"/>
    <n v="24"/>
    <n v="12"/>
    <n v="23"/>
    <n v="6.6405965366666662"/>
    <n v="0.22314109761666667"/>
    <n v="22.314109761666668"/>
  </r>
  <r>
    <s v="TJB-TJ-1"/>
    <x v="0"/>
    <x v="5"/>
    <x v="0"/>
    <s v="N 48.92785, W 55.95797"/>
    <s v="N 48.92738, W 55.95863"/>
    <n v="3"/>
    <n v="14.6"/>
    <n v="7.05"/>
    <n v="25"/>
    <n v="12"/>
    <n v="24"/>
    <n v="6.6405965366666662"/>
    <n v="0.22314109761666667"/>
    <n v="22.314109761666668"/>
  </r>
  <r>
    <s v="HPB-SS-1"/>
    <x v="0"/>
    <x v="6"/>
    <x v="0"/>
    <s v="N 48.61349, W 56.63420"/>
    <s v="N 48.61371, W 56.63494"/>
    <n v="1"/>
    <n v="13.8"/>
    <n v="6.55"/>
    <n v="15"/>
    <n v="7"/>
    <n v="16"/>
    <n v="7.504742324875"/>
    <n v="0.23770799087499997"/>
    <n v="23.770799087499999"/>
  </r>
  <r>
    <s v="HPB-SS-1"/>
    <x v="0"/>
    <x v="6"/>
    <x v="0"/>
    <s v="N 48.61349, W 56.63420"/>
    <s v="N 48.61371, W 56.63494"/>
    <n v="2"/>
    <n v="13.7"/>
    <n v="6.54"/>
    <n v="16"/>
    <n v="7"/>
    <n v="12"/>
    <n v="7.504742324875"/>
    <n v="0.23770799087499997"/>
    <n v="23.770799087499999"/>
  </r>
  <r>
    <s v="HPB-SS-1"/>
    <x v="0"/>
    <x v="6"/>
    <x v="0"/>
    <s v="N 48.61349, W 56.63420"/>
    <s v="N 48.61371, W 56.63494"/>
    <n v="3"/>
    <n v="13.8"/>
    <n v="6.53"/>
    <n v="15"/>
    <n v="7"/>
    <n v="16"/>
    <n v="7.504742324875"/>
    <n v="0.23770799087499997"/>
    <n v="23.770799087499999"/>
  </r>
  <r>
    <s v="NPB-TP-3"/>
    <x v="0"/>
    <x v="6"/>
    <x v="0"/>
    <s v="N 48.65636, W 56.19398"/>
    <s v="N 48.65672, W 56.19354"/>
    <n v="1"/>
    <n v="14.4"/>
    <n v="7.19"/>
    <n v="19"/>
    <n v="10"/>
    <n v="21"/>
    <n v="5.1661517392857146"/>
    <n v="0.16183900290000003"/>
    <n v="16.183900290000004"/>
  </r>
  <r>
    <s v="NPB-TP-3"/>
    <x v="0"/>
    <x v="6"/>
    <x v="0"/>
    <s v="N 48.65636, W 56.19398"/>
    <s v="N 48.65672, W 56.19354"/>
    <n v="2"/>
    <n v="14.4"/>
    <n v="7.15"/>
    <n v="19"/>
    <n v="10"/>
    <n v="20"/>
    <n v="5.1661517392857146"/>
    <n v="0.16183900290000003"/>
    <n v="16.183900290000004"/>
  </r>
  <r>
    <s v="NPB-TP-3"/>
    <x v="0"/>
    <x v="6"/>
    <x v="0"/>
    <s v="N 48.65636, W 56.19398"/>
    <s v="N 48.65672, W 56.19354"/>
    <n v="3"/>
    <n v="14.3"/>
    <n v="7.09"/>
    <n v="19"/>
    <n v="10"/>
    <m/>
    <n v="5.1661517392857146"/>
    <n v="0.16183900290000003"/>
    <n v="16.183900290000004"/>
  </r>
  <r>
    <s v="HBB-HB-1"/>
    <x v="0"/>
    <x v="7"/>
    <x v="0"/>
    <s v="N 48.68567, W 56.87863"/>
    <s v="N 48.68560, W 56.87787"/>
    <n v="1"/>
    <n v="16.2"/>
    <n v="7.29"/>
    <n v="30"/>
    <n v="15"/>
    <n v="24"/>
    <n v="4.2457634553750001"/>
    <n v="0.16880035509999997"/>
    <n v="16.880035509999995"/>
  </r>
  <r>
    <s v="HBB-HB-1"/>
    <x v="0"/>
    <x v="7"/>
    <x v="0"/>
    <s v="N 48.68567, W 56.87863"/>
    <s v="N 48.68560, W 56.87787"/>
    <n v="2"/>
    <n v="16.2"/>
    <n v="7.3"/>
    <n v="30"/>
    <n v="15"/>
    <n v="20"/>
    <n v="4.2457634553750001"/>
    <n v="0.16880035509999997"/>
    <n v="16.880035509999995"/>
  </r>
  <r>
    <s v="HBB-HB-1"/>
    <x v="0"/>
    <x v="7"/>
    <x v="0"/>
    <s v="N 48.68567, W 56.87863"/>
    <s v="N 48.68560, W 56.87787"/>
    <n v="3"/>
    <n v="16.100000000000001"/>
    <n v="7.3"/>
    <n v="29"/>
    <n v="15"/>
    <n v="24"/>
    <n v="4.2457634553750001"/>
    <n v="0.16880035509999997"/>
    <n v="16.880035509999995"/>
  </r>
  <r>
    <s v="LSB-LS-2"/>
    <x v="0"/>
    <x v="7"/>
    <x v="0"/>
    <s v="N 48.80797, W 56.69196"/>
    <s v="N 48.80870, W 56.69218"/>
    <n v="1"/>
    <n v="14.3"/>
    <n v="6.78"/>
    <n v="13"/>
    <n v="7"/>
    <n v="16"/>
    <n v="4.5122989231428567"/>
    <n v="0.16291948348749999"/>
    <n v="16.291948348749997"/>
  </r>
  <r>
    <s v="LSB-LS-2"/>
    <x v="0"/>
    <x v="7"/>
    <x v="0"/>
    <s v="N 48.80797, W 56.69196"/>
    <s v="N 48.80870, W 56.69218"/>
    <n v="2"/>
    <n v="14.2"/>
    <n v="6.8"/>
    <n v="13"/>
    <n v="6"/>
    <n v="20"/>
    <n v="4.5122989231428567"/>
    <n v="0.16291948348749999"/>
    <n v="16.291948348749997"/>
  </r>
  <r>
    <s v="LSB-LS-2"/>
    <x v="0"/>
    <x v="7"/>
    <x v="0"/>
    <s v="N 48.80797, W 56.69196"/>
    <s v="N 48.80870, W 56.69218"/>
    <n v="3"/>
    <n v="14.2"/>
    <n v="6.83"/>
    <n v="13"/>
    <n v="6"/>
    <n v="20"/>
    <n v="4.5122989231428567"/>
    <n v="0.16291948348749999"/>
    <n v="16.291948348749997"/>
  </r>
  <r>
    <s v="GRB-HL-4"/>
    <x v="0"/>
    <x v="8"/>
    <x v="0"/>
    <s v="N 48.77488, W 55.49938"/>
    <s v="N 48.77399, W 55.49959"/>
    <n v="1"/>
    <n v="17.399999999999999"/>
    <n v="6.69"/>
    <n v="17"/>
    <n v="9"/>
    <n v="32"/>
    <n v="4.9599606761250001"/>
    <n v="0.14547483417500001"/>
    <n v="14.547483417500001"/>
  </r>
  <r>
    <s v="GRB-HL-4"/>
    <x v="0"/>
    <x v="8"/>
    <x v="0"/>
    <s v="N 48.77488, W 55.49938"/>
    <s v="N 48.77399, W 55.49959"/>
    <n v="2"/>
    <n v="17.5"/>
    <n v="6.7"/>
    <n v="17"/>
    <n v="9"/>
    <n v="20"/>
    <n v="4.9599606761250001"/>
    <n v="0.14547483417500001"/>
    <n v="14.547483417500001"/>
  </r>
  <r>
    <s v="GRB-HL-4"/>
    <x v="0"/>
    <x v="8"/>
    <x v="0"/>
    <s v="N 48.77488, W 55.49938"/>
    <s v="N 48.77399, W 55.49959"/>
    <n v="3"/>
    <n v="17.5"/>
    <n v="6.71"/>
    <n v="17"/>
    <n v="9"/>
    <n v="22"/>
    <n v="4.9599606761250001"/>
    <n v="0.14547483417500001"/>
    <n v="14.547483417500001"/>
  </r>
  <r>
    <s v="SNB-WS-1"/>
    <x v="0"/>
    <x v="8"/>
    <x v="0"/>
    <s v="N 48.85054, W 55.78043"/>
    <s v="N 48.85021, W 55.78121"/>
    <n v="1"/>
    <n v="16.3"/>
    <n v="7.1"/>
    <n v="27"/>
    <n v="14"/>
    <n v="20"/>
    <n v="4.1294981652857148"/>
    <n v="0.12386496317142857"/>
    <n v="12.386496317142857"/>
  </r>
  <r>
    <s v="SNB-WS-1"/>
    <x v="0"/>
    <x v="8"/>
    <x v="0"/>
    <s v="N 48.85054, W 55.78043"/>
    <s v="N 48.85021, W 55.78121"/>
    <n v="2"/>
    <n v="16.3"/>
    <n v="7.12"/>
    <n v="28"/>
    <n v="14"/>
    <n v="24"/>
    <n v="4.1294981652857148"/>
    <n v="0.12386496317142857"/>
    <n v="12.386496317142857"/>
  </r>
  <r>
    <s v="SNB-WS-1"/>
    <x v="0"/>
    <x v="8"/>
    <x v="0"/>
    <s v="N 48.85054, W 55.78043"/>
    <s v="N 48.85021, W 55.78121"/>
    <n v="3"/>
    <n v="16.2"/>
    <n v="7.11"/>
    <n v="28"/>
    <n v="14"/>
    <n v="16"/>
    <n v="4.1294981652857148"/>
    <n v="0.12386496317142857"/>
    <n v="12.386496317142857"/>
  </r>
  <r>
    <s v="BGB-MA-2"/>
    <x v="0"/>
    <x v="9"/>
    <x v="0"/>
    <s v="N 49.07740, W 55.99052"/>
    <s v="N 49.07818, W 55.98991"/>
    <n v="1"/>
    <n v="18.100000000000001"/>
    <n v="6.62"/>
    <n v="17"/>
    <n v="9"/>
    <n v="18"/>
    <n v="5.2374513994285712"/>
    <n v="0.14393686152500001"/>
    <n v="14.393686152500001"/>
  </r>
  <r>
    <s v="BGB-MA-2"/>
    <x v="0"/>
    <x v="9"/>
    <x v="0"/>
    <s v="N 49.07740, W 55.99052"/>
    <s v="N 49.07818, W 55.98991"/>
    <n v="2"/>
    <n v="18"/>
    <n v="6.62"/>
    <n v="16"/>
    <n v="8"/>
    <n v="20"/>
    <n v="5.2374513994285712"/>
    <n v="0.14393686152500001"/>
    <n v="14.393686152500001"/>
  </r>
  <r>
    <s v="BGB-MA-2"/>
    <x v="0"/>
    <x v="9"/>
    <x v="0"/>
    <s v="N 49.07740, W 55.99052"/>
    <s v="N 49.07818, W 55.98991"/>
    <n v="3"/>
    <n v="17.8"/>
    <n v="6.6"/>
    <n v="17"/>
    <n v="8"/>
    <m/>
    <n v="5.2374513994285712"/>
    <n v="0.14393686152500001"/>
    <n v="14.393686152500001"/>
  </r>
  <r>
    <s v="PHB-PH-1"/>
    <x v="0"/>
    <x v="9"/>
    <x v="0"/>
    <s v="N 48.94168, W 56.04303"/>
    <s v="N 48.94124, W 56.04375"/>
    <n v="1"/>
    <n v="19.3"/>
    <n v="6.77"/>
    <n v="19"/>
    <n v="9"/>
    <n v="24"/>
    <n v="4.8647254753749998"/>
    <n v="0.16583524921249998"/>
    <n v="16.58352492125"/>
  </r>
  <r>
    <s v="PHB-PH-1"/>
    <x v="0"/>
    <x v="9"/>
    <x v="0"/>
    <s v="N 48.94168, W 56.04303"/>
    <s v="N 48.94124, W 56.04375"/>
    <n v="2"/>
    <n v="19.2"/>
    <n v="6.76"/>
    <n v="19"/>
    <n v="10"/>
    <n v="21"/>
    <n v="4.8647254753749998"/>
    <n v="0.16583524921249998"/>
    <n v="16.58352492125"/>
  </r>
  <r>
    <s v="PHB-PH-1"/>
    <x v="0"/>
    <x v="9"/>
    <x v="0"/>
    <s v="N 48.94168, W 56.04303"/>
    <s v="N 48.94124, W 56.04375"/>
    <n v="3"/>
    <n v="19.3"/>
    <n v="6.76"/>
    <n v="19"/>
    <n v="9"/>
    <m/>
    <n v="4.8647254753749998"/>
    <n v="0.16583524921249998"/>
    <n v="16.58352492125"/>
  </r>
  <r>
    <s v="MCB-MB-1"/>
    <x v="0"/>
    <x v="10"/>
    <x v="0"/>
    <s v="N 48.76766, W 56.38787"/>
    <s v="N 48.76747, W 56.38759"/>
    <n v="1"/>
    <n v="17.7"/>
    <n v="5.99"/>
    <n v="14"/>
    <n v="7"/>
    <n v="18"/>
    <n v="11.762771775000001"/>
    <n v="0.36575954757142853"/>
    <n v="36.575954757142853"/>
  </r>
  <r>
    <s v="MCB-MB-1"/>
    <x v="0"/>
    <x v="10"/>
    <x v="0"/>
    <s v="N 48.76766, W 56.38787"/>
    <s v="N 48.76747, W 56.38759"/>
    <n v="2"/>
    <n v="17.5"/>
    <n v="5.98"/>
    <n v="14"/>
    <n v="7"/>
    <n v="18"/>
    <n v="11.762771775000001"/>
    <n v="0.36575954757142853"/>
    <n v="36.575954757142853"/>
  </r>
  <r>
    <s v="MCB-MB-1"/>
    <x v="0"/>
    <x v="10"/>
    <x v="0"/>
    <s v="N 48.76766, W 56.38787"/>
    <s v="N 48.76747, W 56.38759"/>
    <n v="3"/>
    <n v="17.399999999999999"/>
    <n v="5.99"/>
    <n v="14"/>
    <n v="7"/>
    <m/>
    <n v="11.762771775000001"/>
    <n v="0.36575954757142853"/>
    <n v="36.575954757142853"/>
  </r>
  <r>
    <s v="NPB-SW-1"/>
    <x v="0"/>
    <x v="10"/>
    <x v="0"/>
    <s v="N 48.41282, W 56.73870"/>
    <s v="N 48.41224. W 56.73853"/>
    <n v="1"/>
    <n v="17.7"/>
    <n v="6.49"/>
    <n v="16"/>
    <n v="8"/>
    <n v="24"/>
    <n v="4.1336676238571428"/>
    <n v="0.1225166661"/>
    <n v="12.251666610000001"/>
  </r>
  <r>
    <s v="NPB-SW-1"/>
    <x v="0"/>
    <x v="10"/>
    <x v="0"/>
    <s v="N 48.41282, W 56.73870"/>
    <s v="N 48.41224. W 56.73853"/>
    <n v="2"/>
    <n v="17.7"/>
    <n v="6.49"/>
    <n v="14"/>
    <n v="7"/>
    <n v="24"/>
    <n v="4.1336676238571428"/>
    <n v="0.1225166661"/>
    <n v="12.251666610000001"/>
  </r>
  <r>
    <s v="NPB-SW-1"/>
    <x v="0"/>
    <x v="10"/>
    <x v="0"/>
    <s v="N 48.41282, W 56.73870"/>
    <s v="N 48.41224. W 56.73853"/>
    <n v="3"/>
    <n v="17.7"/>
    <n v="6.49"/>
    <n v="14"/>
    <n v="7"/>
    <m/>
    <n v="4.1336676238571428"/>
    <n v="0.1225166661"/>
    <n v="12.251666610000001"/>
  </r>
  <r>
    <s v="CGB-CG-1"/>
    <x v="0"/>
    <x v="11"/>
    <x v="0"/>
    <s v="N 48.55573, W 57.12020"/>
    <s v="N 48.55548, W 57.11979"/>
    <n v="1"/>
    <n v="16"/>
    <n v="6.97"/>
    <n v="25"/>
    <n v="12"/>
    <n v="28"/>
    <n v="3.8841878584285712"/>
    <n v="0.132584011675"/>
    <n v="13.258401167500001"/>
  </r>
  <r>
    <s v="CGB-CG-1"/>
    <x v="0"/>
    <x v="11"/>
    <x v="0"/>
    <s v="N 48.55573, W 57.12020"/>
    <s v="N 48.55548, W 57.11979"/>
    <n v="2"/>
    <n v="15.8"/>
    <n v="7"/>
    <n v="25"/>
    <n v="12"/>
    <n v="28"/>
    <n v="3.8841878584285712"/>
    <n v="0.132584011675"/>
    <n v="13.258401167500001"/>
  </r>
  <r>
    <s v="CGB-CG-1"/>
    <x v="0"/>
    <x v="11"/>
    <x v="0"/>
    <s v="N 48.55573, W 57.12020"/>
    <s v="N 48.55548, W 57.11979"/>
    <n v="3"/>
    <n v="15.8"/>
    <n v="7.01"/>
    <n v="24"/>
    <n v="12"/>
    <m/>
    <n v="3.8841878584285712"/>
    <n v="0.132584011675"/>
    <n v="13.258401167500001"/>
  </r>
  <r>
    <s v="WLB-WL-1"/>
    <x v="0"/>
    <x v="11"/>
    <x v="0"/>
    <s v="N 48.77073, W 56.86468"/>
    <s v="N 48.77128, W 56.86586"/>
    <n v="1"/>
    <n v="19.100000000000001"/>
    <n v="7.04"/>
    <n v="17"/>
    <n v="8"/>
    <n v="20"/>
    <n v="5.1385218912857136"/>
    <n v="0.13604512931428572"/>
    <n v="13.604512931428573"/>
  </r>
  <r>
    <s v="WLB-WL-1"/>
    <x v="0"/>
    <x v="11"/>
    <x v="0"/>
    <s v="N 48.77073, W 56.86468"/>
    <s v="N 48.77128, W 56.86586"/>
    <n v="2"/>
    <n v="18.899999999999999"/>
    <n v="7.05"/>
    <n v="17"/>
    <n v="8"/>
    <n v="14"/>
    <n v="5.1385218912857136"/>
    <n v="0.13604512931428572"/>
    <n v="13.604512931428573"/>
  </r>
  <r>
    <s v="WLB-WL-1"/>
    <x v="0"/>
    <x v="11"/>
    <x v="0"/>
    <s v="N 48.77073, W 56.86468"/>
    <s v="N 48.77128, W 56.86586"/>
    <n v="3"/>
    <n v="19"/>
    <n v="7.06"/>
    <n v="17"/>
    <n v="8"/>
    <m/>
    <n v="5.1385218912857136"/>
    <n v="0.13604512931428572"/>
    <n v="13.604512931428573"/>
  </r>
  <r>
    <s v="GRB-TB-3"/>
    <x v="0"/>
    <x v="12"/>
    <x v="0"/>
    <s v="N 48.81880, W 55.48946"/>
    <s v="N 48.81928, W 55.48830"/>
    <n v="1"/>
    <n v="19.600000000000001"/>
    <n v="6.8"/>
    <n v="18"/>
    <n v="9"/>
    <n v="18"/>
    <n v="5.7658932225000008"/>
    <n v="0.20414053802857143"/>
    <n v="20.414053802857143"/>
  </r>
  <r>
    <s v="GRB-TB-3"/>
    <x v="0"/>
    <x v="12"/>
    <x v="0"/>
    <s v="N 48.81880, W 55.48946"/>
    <s v="N 48.81928, W 55.48830"/>
    <n v="2"/>
    <n v="19.5"/>
    <n v="6.81"/>
    <n v="18"/>
    <n v="9"/>
    <n v="18"/>
    <n v="5.7658932225000008"/>
    <n v="0.20414053802857143"/>
    <n v="20.414053802857143"/>
  </r>
  <r>
    <s v="GRB-TB-3"/>
    <x v="0"/>
    <x v="12"/>
    <x v="0"/>
    <s v="N 48.81880, W 55.48946"/>
    <s v="N 48.81928, W 55.48830"/>
    <n v="3"/>
    <n v="19.399999999999999"/>
    <n v="6.81"/>
    <n v="18"/>
    <n v="9"/>
    <m/>
    <n v="5.7658932225000008"/>
    <n v="0.20414053802857143"/>
    <n v="20.414053802857143"/>
  </r>
  <r>
    <s v="LRB-LT-1"/>
    <x v="0"/>
    <x v="12"/>
    <x v="0"/>
    <s v="N 48.92211, W 55.61086"/>
    <s v="N 48.92155, W 55.61128"/>
    <n v="1"/>
    <n v="18.8"/>
    <n v="7.09"/>
    <n v="37"/>
    <n v="18"/>
    <n v="28"/>
    <n v="5.6587973808749998"/>
    <n v="0.17908934365714285"/>
    <n v="17.908934365714284"/>
  </r>
  <r>
    <s v="LRB-LT-1"/>
    <x v="0"/>
    <x v="12"/>
    <x v="0"/>
    <s v="N 48.92211, W 55.61086"/>
    <s v="N 48.92155, W 55.61128"/>
    <n v="2"/>
    <n v="18.8"/>
    <n v="7.06"/>
    <n v="32"/>
    <n v="16"/>
    <n v="28"/>
    <n v="5.6587973808749998"/>
    <n v="0.17908934365714285"/>
    <n v="17.908934365714284"/>
  </r>
  <r>
    <s v="LRB-LT-1"/>
    <x v="0"/>
    <x v="12"/>
    <x v="0"/>
    <s v="N 48.92211, W 55.61086"/>
    <s v="N 48.92155, W 55.61128"/>
    <n v="33"/>
    <n v="18.8"/>
    <n v="6.97"/>
    <n v="33"/>
    <n v="16"/>
    <m/>
    <n v="5.6587973808749998"/>
    <n v="0.17908934365714285"/>
    <n v="17.908934365714284"/>
  </r>
  <r>
    <s v="NPB-PW-1"/>
    <x v="0"/>
    <x v="13"/>
    <x v="0"/>
    <s v="N 48.74871, W 56.24922"/>
    <s v="N 48.74900, W 56.24856"/>
    <n v="1"/>
    <n v="18.8"/>
    <n v="7.03"/>
    <n v="27"/>
    <n v="13"/>
    <n v="24"/>
    <n v="6.0232914081428577"/>
    <n v="0.22260596231428573"/>
    <n v="22.260596231428572"/>
  </r>
  <r>
    <s v="NPB-PW-1"/>
    <x v="0"/>
    <x v="13"/>
    <x v="0"/>
    <s v="N 48.74871, W 56.24922"/>
    <s v="N 48.74900, W 56.24856"/>
    <n v="2"/>
    <n v="18.8"/>
    <n v="7.05"/>
    <n v="26"/>
    <n v="13"/>
    <n v="20"/>
    <n v="6.0232914081428577"/>
    <n v="0.22260596231428573"/>
    <n v="22.260596231428572"/>
  </r>
  <r>
    <s v="NPB-PW-1"/>
    <x v="0"/>
    <x v="13"/>
    <x v="0"/>
    <s v="N 48.74871, W 56.24922"/>
    <s v="N 48.74900, W 56.24856"/>
    <n v="3"/>
    <n v="18.8"/>
    <n v="7.06"/>
    <n v="26"/>
    <n v="13"/>
    <m/>
    <n v="6.0232914081428577"/>
    <n v="0.22260596231428573"/>
    <n v="22.260596231428572"/>
  </r>
  <r>
    <s v="GRB-BB-1"/>
    <x v="0"/>
    <x v="14"/>
    <x v="0"/>
    <s v="N 48.63305, W 55.73506"/>
    <s v="N 48.63250, W 55.73509"/>
    <n v="1"/>
    <n v="27.3"/>
    <n v="5.5"/>
    <n v="15"/>
    <n v="7"/>
    <n v="22"/>
    <n v="9.5248869962500002"/>
    <n v="0.24953892622500001"/>
    <n v="24.9538926225"/>
  </r>
  <r>
    <s v="GRB-BB-1"/>
    <x v="0"/>
    <x v="14"/>
    <x v="0"/>
    <s v="N 48.63305, W 55.73506"/>
    <s v="N 48.63250, W 55.73509"/>
    <n v="2"/>
    <n v="27"/>
    <n v="5.53"/>
    <n v="14"/>
    <n v="7"/>
    <n v="26"/>
    <n v="9.5248869962500002"/>
    <n v="0.24953892622500001"/>
    <n v="24.9538926225"/>
  </r>
  <r>
    <s v="GRB-BB-1"/>
    <x v="0"/>
    <x v="14"/>
    <x v="0"/>
    <s v="N 48.63305, W 55.73506"/>
    <s v="N 48.63250, W 55.73509"/>
    <n v="3"/>
    <n v="27"/>
    <n v="5.54"/>
    <n v="13"/>
    <n v="7"/>
    <n v="24"/>
    <n v="9.5248869962500002"/>
    <n v="0.24953892622500001"/>
    <n v="24.9538926225"/>
  </r>
  <r>
    <s v="VTR-VR-2"/>
    <x v="0"/>
    <x v="15"/>
    <x v="0"/>
    <s v="N 48.42519, W 57.07986"/>
    <s v="N 48.42500, W 57.08096"/>
    <n v="1"/>
    <n v="22.8"/>
    <n v="7.16"/>
    <n v="20"/>
    <n v="10"/>
    <n v="20"/>
    <n v="2.3908022134285716"/>
    <n v="8.4632308062499995E-2"/>
    <n v="8.4632308062499995"/>
  </r>
  <r>
    <s v="VTR-VR-2"/>
    <x v="0"/>
    <x v="15"/>
    <x v="0"/>
    <s v="N 48.42519, W 57.07986"/>
    <s v="N 48.42500, W 57.08096"/>
    <n v="2"/>
    <n v="22.8"/>
    <n v="7.17"/>
    <n v="20"/>
    <n v="10"/>
    <n v="20"/>
    <n v="2.3908022134285716"/>
    <n v="8.4632308062499995E-2"/>
    <n v="8.4632308062499995"/>
  </r>
  <r>
    <s v="VTR-VR-2"/>
    <x v="0"/>
    <x v="15"/>
    <x v="0"/>
    <s v="N 48.42519, W 57.07986"/>
    <s v="N 48.42500, W 57.08096"/>
    <n v="3"/>
    <n v="22.8"/>
    <n v="7.17"/>
    <n v="20"/>
    <n v="10"/>
    <m/>
    <n v="2.3908022134285716"/>
    <n v="8.4632308062499995E-2"/>
    <n v="8.4632308062499995"/>
  </r>
  <r>
    <s v="NPB-CB-1"/>
    <x v="0"/>
    <x v="15"/>
    <x v="0"/>
    <s v="N 48.61591,W 56.34280"/>
    <s v="N 48.61523, W 56.34299"/>
    <n v="1"/>
    <n v="23.5"/>
    <n v="6.71"/>
    <n v="15"/>
    <n v="8"/>
    <n v="15"/>
    <n v="5.1295829552857137"/>
    <n v="0.19427262130000003"/>
    <n v="19.427262130000003"/>
  </r>
  <r>
    <s v="NPB-CB-1"/>
    <x v="0"/>
    <x v="15"/>
    <x v="0"/>
    <s v="N 48.61591,W 56.34280"/>
    <s v="N 48.61523, W 56.34299"/>
    <n v="2"/>
    <n v="23.5"/>
    <n v="6.62"/>
    <n v="15"/>
    <n v="8"/>
    <n v="16"/>
    <n v="5.1295829552857137"/>
    <n v="0.19427262130000003"/>
    <n v="19.427262130000003"/>
  </r>
  <r>
    <s v="NPB-CB-1"/>
    <x v="0"/>
    <x v="15"/>
    <x v="0"/>
    <s v="N 48.61591,W 56.34280"/>
    <s v="N 48.61523, W 56.34299"/>
    <n v="3"/>
    <n v="23.6"/>
    <n v="6.56"/>
    <n v="15"/>
    <n v="8"/>
    <m/>
    <n v="5.1295829552857137"/>
    <n v="0.19427262130000003"/>
    <n v="19.427262130000003"/>
  </r>
  <r>
    <s v="LYR-LY-3"/>
    <x v="0"/>
    <x v="16"/>
    <x v="0"/>
    <s v="N 48.39377, W 57.47034"/>
    <s v="N 48.39334, W 57.46984"/>
    <n v="1"/>
    <n v="17.399999999999999"/>
    <n v="7.34"/>
    <n v="33"/>
    <n v="16"/>
    <n v="20"/>
    <n v="3.2293146684285712"/>
    <n v="0.12309832992857142"/>
    <n v="12.309832992857142"/>
  </r>
  <r>
    <s v="LYR-LY-3"/>
    <x v="0"/>
    <x v="16"/>
    <x v="0"/>
    <s v="N 48.39377, W 57.47034"/>
    <s v="N 48.39334, W 57.46984"/>
    <n v="2"/>
    <n v="17.3"/>
    <n v="7.34"/>
    <n v="31"/>
    <n v="16"/>
    <n v="20"/>
    <n v="3.2293146684285712"/>
    <n v="0.12309832992857142"/>
    <n v="12.309832992857142"/>
  </r>
  <r>
    <s v="LYR-LY-3"/>
    <x v="0"/>
    <x v="16"/>
    <x v="0"/>
    <s v="N 48.39377, W 57.47034"/>
    <s v="N 48.39334, W 57.46984"/>
    <n v="3"/>
    <n v="17.3"/>
    <n v="7.34"/>
    <n v="31"/>
    <n v="15"/>
    <m/>
    <n v="3.2293146684285712"/>
    <n v="0.12309832992857142"/>
    <n v="12.309832992857142"/>
  </r>
  <r>
    <s v="LYR-LY-1"/>
    <x v="0"/>
    <x v="16"/>
    <x v="0"/>
    <s v="N 48.46025, W 57.43190"/>
    <s v="N 48.46067, W 57.43143"/>
    <n v="1"/>
    <n v="19.399999999999999"/>
    <n v="6.95"/>
    <n v="22"/>
    <n v="11"/>
    <n v="20"/>
    <n v="6.3563339912857142"/>
    <n v="0.17776593657142858"/>
    <n v="17.776593657142858"/>
  </r>
  <r>
    <s v="LYR-LY-1"/>
    <x v="0"/>
    <x v="16"/>
    <x v="0"/>
    <s v="N 48.46025, W 57.43190"/>
    <s v="N 48.46067, W 57.43143"/>
    <n v="2"/>
    <n v="19.3"/>
    <n v="6.9"/>
    <n v="22"/>
    <n v="11"/>
    <n v="24"/>
    <n v="6.3563339912857142"/>
    <n v="0.17776593657142858"/>
    <n v="17.776593657142858"/>
  </r>
  <r>
    <s v="LYR-LY-1"/>
    <x v="0"/>
    <x v="16"/>
    <x v="0"/>
    <s v="N 48.46025, W 57.43190"/>
    <s v="N 48.46067, W 57.43143"/>
    <n v="3"/>
    <n v="19.3"/>
    <n v="6.87"/>
    <n v="22"/>
    <n v="11"/>
    <m/>
    <n v="6.3563339912857142"/>
    <n v="0.17776593657142858"/>
    <n v="17.776593657142858"/>
  </r>
  <r>
    <s v="TKB-TK-1"/>
    <x v="0"/>
    <x v="17"/>
    <x v="0"/>
    <s v="N 48.54182, W 57.17826"/>
    <s v="N 48.54099, W 57.17885"/>
    <n v="1"/>
    <n v="15.8"/>
    <n v="7.47"/>
    <n v="41"/>
    <n v="20"/>
    <n v="36"/>
    <n v="3.0154098606666664"/>
    <n v="0.10177391253333333"/>
    <n v="10.177391253333333"/>
  </r>
  <r>
    <s v="TKB-TK-1"/>
    <x v="0"/>
    <x v="17"/>
    <x v="0"/>
    <s v="N 48.54182, W 57.17826"/>
    <s v="N 48.54099, W 57.17885"/>
    <n v="2"/>
    <n v="15.7"/>
    <n v="7.47"/>
    <n v="41"/>
    <n v="20"/>
    <n v="36"/>
    <n v="3.0154098606666664"/>
    <n v="0.10177391253333333"/>
    <n v="10.177391253333333"/>
  </r>
  <r>
    <s v="TKB-TK-1"/>
    <x v="0"/>
    <x v="17"/>
    <x v="0"/>
    <s v="N 48.54182, W 57.17826"/>
    <s v="N 48.54099, W 57.17885"/>
    <n v="3"/>
    <n v="15.6"/>
    <n v="7.47"/>
    <n v="41"/>
    <n v="20"/>
    <m/>
    <n v="3.0154098606666664"/>
    <n v="0.10177391253333333"/>
    <n v="10.177391253333333"/>
  </r>
  <r>
    <s v="BCB-BC-2"/>
    <x v="0"/>
    <x v="18"/>
    <x v="0"/>
    <s v="N 48.85604, W 56.82196"/>
    <s v="N 48.85777, W 56.82185"/>
    <n v="1"/>
    <n v="15.8"/>
    <n v="6.83"/>
    <n v="17"/>
    <n v="9"/>
    <n v="28"/>
    <n v="5.3318672361666666"/>
    <n v="0.19495426801249999"/>
    <n v="19.495426801249998"/>
  </r>
  <r>
    <s v="BCB-BC-2"/>
    <x v="0"/>
    <x v="18"/>
    <x v="0"/>
    <s v="N 48.85604, W 56.82196"/>
    <s v="N 48.85777, W 56.82185"/>
    <n v="2"/>
    <n v="15.6"/>
    <n v="6.86"/>
    <n v="17"/>
    <n v="9"/>
    <n v="28"/>
    <n v="5.3318672361666666"/>
    <n v="0.19495426801249999"/>
    <n v="19.495426801249998"/>
  </r>
  <r>
    <s v="BCB-BC-2"/>
    <x v="0"/>
    <x v="18"/>
    <x v="0"/>
    <s v="N 48.85604, W 56.82196"/>
    <s v="N 48.85777, W 56.82185"/>
    <n v="3"/>
    <n v="15.6"/>
    <n v="6.87"/>
    <n v="17"/>
    <n v="8"/>
    <m/>
    <n v="5.3318672361666666"/>
    <n v="0.19495426801249999"/>
    <n v="19.495426801249998"/>
  </r>
  <r>
    <s v="BCB-BC-1"/>
    <x v="0"/>
    <x v="18"/>
    <x v="0"/>
    <s v="N 48.84623, W 56.78580"/>
    <s v="N 48.84710, W 56.78572"/>
    <n v="1"/>
    <n v="15.9"/>
    <n v="6.9"/>
    <n v="17"/>
    <n v="9"/>
    <n v="16"/>
    <n v="4.0151824225714288"/>
    <n v="0.1735775438142857"/>
    <n v="17.35775438142857"/>
  </r>
  <r>
    <s v="BCB-BC-1"/>
    <x v="0"/>
    <x v="18"/>
    <x v="0"/>
    <s v="N 48.84623, W 56.78580"/>
    <s v="N 48.84710, W 56.78572"/>
    <n v="2"/>
    <n v="15.8"/>
    <n v="6.9"/>
    <n v="17"/>
    <n v="9"/>
    <n v="16"/>
    <n v="4.0151824225714288"/>
    <n v="0.1735775438142857"/>
    <n v="17.35775438142857"/>
  </r>
  <r>
    <s v="BCB-BC-1"/>
    <x v="0"/>
    <x v="18"/>
    <x v="0"/>
    <s v="N 48.84623, W 56.78580"/>
    <s v="N 48.84710, W 56.78572"/>
    <n v="3"/>
    <n v="15.8"/>
    <n v="6.88"/>
    <n v="17"/>
    <n v="9"/>
    <m/>
    <n v="4.0151824225714288"/>
    <n v="0.1735775438142857"/>
    <n v="17.35775438142857"/>
  </r>
  <r>
    <s v="VTR-HW-1"/>
    <x v="0"/>
    <x v="19"/>
    <x v="0"/>
    <s v="N 48.46088, W 56.79710"/>
    <s v="N 48.46024, W 56.79755"/>
    <n v="1"/>
    <n v="19.8"/>
    <n v="6.9"/>
    <n v="14"/>
    <n v="7"/>
    <n v="16"/>
    <n v="4.4489015867499999"/>
    <n v="0.13668485026666669"/>
    <n v="13.668485026666669"/>
  </r>
  <r>
    <s v="VTR-HW-1"/>
    <x v="0"/>
    <x v="19"/>
    <x v="0"/>
    <s v="N 48.46088, W 56.79710"/>
    <s v="N 48.46024, W 56.79755"/>
    <n v="2"/>
    <n v="19.899999999999999"/>
    <n v="6.9"/>
    <n v="14"/>
    <n v="7"/>
    <n v="12"/>
    <n v="4.4489015867499999"/>
    <n v="0.13668485026666669"/>
    <n v="13.668485026666669"/>
  </r>
  <r>
    <s v="VTR-HW-1"/>
    <x v="0"/>
    <x v="19"/>
    <x v="0"/>
    <s v="N 48.46088, W 56.79710"/>
    <s v="N 48.46024, W 56.79755"/>
    <n v="3"/>
    <n v="20"/>
    <n v="6.89"/>
    <n v="14"/>
    <n v="7"/>
    <m/>
    <n v="4.4489015867499999"/>
    <n v="0.13668485026666669"/>
    <n v="13.668485026666669"/>
  </r>
  <r>
    <s v="GRB-PL-1"/>
    <x v="0"/>
    <x v="20"/>
    <x v="0"/>
    <s v="N 48.70595, W 55.63019"/>
    <s v="N 48.70641, W 55.63074"/>
    <n v="1"/>
    <n v="18.600000000000001"/>
    <n v="7.26"/>
    <n v="24"/>
    <n v="12"/>
    <n v="24"/>
    <n v="4.3151695769999998"/>
    <n v="0.1379803104"/>
    <n v="13.79803104"/>
  </r>
  <r>
    <s v="GRB-PL-1"/>
    <x v="0"/>
    <x v="20"/>
    <x v="0"/>
    <s v="N 48.70595, W 55.63019"/>
    <s v="N 48.70641, W 55.63074"/>
    <n v="2"/>
    <n v="18.600000000000001"/>
    <n v="7.25"/>
    <n v="24"/>
    <n v="12"/>
    <n v="28"/>
    <n v="4.3151695769999998"/>
    <n v="0.1379803104"/>
    <n v="13.79803104"/>
  </r>
  <r>
    <s v="GRB-PL-1"/>
    <x v="0"/>
    <x v="20"/>
    <x v="0"/>
    <s v="N 48.70595, W 55.63019"/>
    <s v="N 48.70641, W 55.63074"/>
    <n v="3"/>
    <n v="18.600000000000001"/>
    <n v="7.24"/>
    <n v="24"/>
    <n v="12"/>
    <n v="24"/>
    <n v="4.3151695769999998"/>
    <n v="0.1379803104"/>
    <n v="13.79803104"/>
  </r>
  <r>
    <s v="SPB-SP-1"/>
    <x v="0"/>
    <x v="21"/>
    <x v="0"/>
    <s v="N 48.73885, W 56.92947"/>
    <s v="N 48.73891, W 56.93018"/>
    <n v="1"/>
    <n v="20.7"/>
    <n v="7.27"/>
    <n v="29"/>
    <n v="14"/>
    <n v="20"/>
    <n v="4.3964300841249999"/>
    <n v="0.19056448147142854"/>
    <n v="19.056448147142856"/>
  </r>
  <r>
    <s v="SPB-SP-1"/>
    <x v="0"/>
    <x v="21"/>
    <x v="0"/>
    <s v="N 48.73885, W 56.92947"/>
    <s v="N 48.73891, W 56.93018"/>
    <n v="2"/>
    <n v="20.6"/>
    <n v="7.34"/>
    <n v="28"/>
    <n v="14"/>
    <n v="20"/>
    <n v="4.3964300841249999"/>
    <n v="0.19056448147142854"/>
    <n v="19.056448147142856"/>
  </r>
  <r>
    <s v="SPB-SP-1"/>
    <x v="0"/>
    <x v="21"/>
    <x v="0"/>
    <s v="N 48.73885, W 56.92947"/>
    <s v="N 48.73891, W 56.93018"/>
    <n v="3"/>
    <n v="20.399999999999999"/>
    <n v="7.35"/>
    <n v="28"/>
    <n v="14"/>
    <m/>
    <n v="4.3964300841249999"/>
    <n v="0.19056448147142854"/>
    <n v="19.056448147142856"/>
  </r>
  <r>
    <s v="SNB-US-1"/>
    <x v="0"/>
    <x v="22"/>
    <x v="0"/>
    <s v="N 48.81558, W 55.75333"/>
    <s v="N 48.81482, W 55.75401"/>
    <n v="1"/>
    <n v="14.3"/>
    <n v="7.33"/>
    <n v="26"/>
    <n v="13"/>
    <n v="20"/>
    <n v="3.152495407"/>
    <n v="0.1229751201857143"/>
    <n v="12.29751201857143"/>
  </r>
  <r>
    <s v="SNB-US-1"/>
    <x v="0"/>
    <x v="22"/>
    <x v="0"/>
    <s v="N 48.81558, W 55.75333"/>
    <s v="N 48.81482, W 55.75401"/>
    <n v="2"/>
    <n v="14.3"/>
    <n v="7.32"/>
    <n v="25"/>
    <n v="12"/>
    <n v="20"/>
    <n v="3.152495407"/>
    <n v="0.1229751201857143"/>
    <n v="12.29751201857143"/>
  </r>
  <r>
    <s v="SNB-US-1"/>
    <x v="0"/>
    <x v="22"/>
    <x v="0"/>
    <s v="N 48.81558, W 55.75333"/>
    <s v="N 48.81482, W 55.75401"/>
    <n v="3"/>
    <n v="14.3"/>
    <n v="7.29"/>
    <n v="24"/>
    <n v="12"/>
    <m/>
    <n v="3.152495407"/>
    <n v="0.1229751201857143"/>
    <n v="12.29751201857143"/>
  </r>
  <r>
    <s v="HPB-EP-1"/>
    <x v="0"/>
    <x v="23"/>
    <x v="0"/>
    <s v="N 48.68157, W 56.51104"/>
    <s v="N 48.68184, W 56.51056"/>
    <n v="1"/>
    <n v="18.8"/>
    <n v="7.07"/>
    <n v="28"/>
    <n v="14"/>
    <n v="16"/>
    <n v="7.2656423791428564"/>
    <n v="0.29530455507499997"/>
    <n v="29.530455507499997"/>
  </r>
  <r>
    <s v="HPB-EP-1"/>
    <x v="0"/>
    <x v="23"/>
    <x v="0"/>
    <s v="N 48.68157, W 56.51104"/>
    <s v="N 48.68184, W 56.51056"/>
    <n v="2"/>
    <n v="18.7"/>
    <n v="7.06"/>
    <n v="27"/>
    <n v="14"/>
    <n v="16"/>
    <n v="7.2656423791428564"/>
    <n v="0.29530455507499997"/>
    <n v="29.530455507499997"/>
  </r>
  <r>
    <s v="HPB-EP-1"/>
    <x v="0"/>
    <x v="23"/>
    <x v="0"/>
    <s v="N 48.68157, W 56.51104"/>
    <s v="N 48.68184, W 56.51056"/>
    <n v="3"/>
    <n v="18.7"/>
    <n v="7.05"/>
    <n v="27"/>
    <n v="14"/>
    <m/>
    <n v="7.2656423791428564"/>
    <n v="0.29530455507499997"/>
    <n v="29.530455507499997"/>
  </r>
  <r>
    <s v="HPB-HP-3"/>
    <x v="0"/>
    <x v="24"/>
    <x v="0"/>
    <s v="N 48.60475, W 56.63340"/>
    <s v="N 48.60433, W 56.63440"/>
    <n v="1"/>
    <n v="18.2"/>
    <n v="7.17"/>
    <n v="25"/>
    <n v="12"/>
    <n v="20"/>
    <n v="3.9818135941428565"/>
    <n v="0.1710473414625"/>
    <n v="17.104734146249999"/>
  </r>
  <r>
    <s v="HPB-HP-3"/>
    <x v="0"/>
    <x v="24"/>
    <x v="0"/>
    <s v="N 48.60475, W 56.63340"/>
    <s v="N 48.60433, W 56.63440"/>
    <n v="2"/>
    <n v="18.100000000000001"/>
    <n v="7.17"/>
    <n v="25"/>
    <n v="12"/>
    <n v="24"/>
    <n v="3.9818135941428565"/>
    <n v="0.1710473414625"/>
    <n v="17.104734146249999"/>
  </r>
  <r>
    <s v="HPB-HP-3"/>
    <x v="0"/>
    <x v="24"/>
    <x v="0"/>
    <s v="N 48.60475, W 56.63340"/>
    <s v="N 48.60433, W 56.63440"/>
    <n v="3"/>
    <n v="18.100000000000001"/>
    <n v="7.17"/>
    <n v="25"/>
    <n v="12"/>
    <m/>
    <n v="3.9818135941428565"/>
    <n v="0.1710473414625"/>
    <n v="17.104734146249999"/>
  </r>
  <r>
    <s v="BTL-BP-1"/>
    <x v="0"/>
    <x v="24"/>
    <x v="0"/>
    <s v="N 48.74133, W 56.59879"/>
    <s v="N 48.74096, W 56.59937"/>
    <n v="1"/>
    <n v="19"/>
    <n v="7.18"/>
    <n v="23"/>
    <n v="12"/>
    <n v="20"/>
    <n v="5.4361699301428574"/>
    <n v="0.29521500989999999"/>
    <n v="29.52150099"/>
  </r>
  <r>
    <s v="BTL-BP-1"/>
    <x v="0"/>
    <x v="24"/>
    <x v="0"/>
    <s v="N 48.74133, W 56.59879"/>
    <s v="N 48.74096, W 56.59937"/>
    <n v="2"/>
    <n v="19"/>
    <n v="7.19"/>
    <n v="23"/>
    <n v="12"/>
    <n v="20"/>
    <n v="5.4361699301428574"/>
    <n v="0.29521500989999999"/>
    <n v="29.52150099"/>
  </r>
  <r>
    <s v="BTL-BP-1"/>
    <x v="0"/>
    <x v="24"/>
    <x v="0"/>
    <s v="N 48.74133, W 56.59879"/>
    <s v="N 48.74096, W 56.59937"/>
    <n v="3"/>
    <n v="19"/>
    <n v="7.2"/>
    <n v="23"/>
    <n v="12"/>
    <m/>
    <n v="5.4361699301428574"/>
    <n v="0.29521500989999999"/>
    <n v="29.52150099"/>
  </r>
  <r>
    <s v="SDY-SB-1"/>
    <x v="0"/>
    <x v="25"/>
    <x v="0"/>
    <s v="N 48.91359, W 55.79738"/>
    <s v="N 48.91284, W 55.79810"/>
    <n v="1"/>
    <n v="29.1"/>
    <n v="7"/>
    <n v="29"/>
    <n v="14"/>
    <n v="30"/>
    <n v="4.6439338415714291"/>
    <n v="0.24243231601249998"/>
    <n v="24.243231601249999"/>
  </r>
  <r>
    <s v="SDY-SB-1"/>
    <x v="0"/>
    <x v="25"/>
    <x v="0"/>
    <s v="N 48.91359, W 55.79738"/>
    <s v="N 48.91284, W 55.79810"/>
    <n v="2"/>
    <n v="28.7"/>
    <n v="7.02"/>
    <n v="29"/>
    <n v="14"/>
    <n v="18"/>
    <n v="4.6439338415714291"/>
    <n v="0.24243231601249998"/>
    <n v="24.243231601249999"/>
  </r>
  <r>
    <s v="SDY-SB-1"/>
    <x v="0"/>
    <x v="25"/>
    <x v="0"/>
    <s v="N 48.91359, W 55.79738"/>
    <s v="N 48.91284, W 55.79810"/>
    <n v="3"/>
    <n v="28.7"/>
    <n v="7.03"/>
    <n v="28"/>
    <n v="14"/>
    <n v="18"/>
    <n v="4.6439338415714291"/>
    <n v="0.24243231601249998"/>
    <n v="24.243231601249999"/>
  </r>
  <r>
    <s v="GWB"/>
    <x v="0"/>
    <x v="26"/>
    <x v="1"/>
    <s v="N48.91701 W055.64848"/>
    <s v="N48.91655 W055.64888"/>
    <n v="2"/>
    <n v="15.4"/>
    <n v="6.8"/>
    <n v="32"/>
    <n v="16"/>
    <n v="24"/>
    <n v="6.0465870048666659"/>
    <n v="0.47222585199999995"/>
    <n v="47.222585199999997"/>
  </r>
  <r>
    <s v="GWB"/>
    <x v="0"/>
    <x v="26"/>
    <x v="1"/>
    <s v="N48.91701 W055.64848"/>
    <s v="N48.91655 W055.64888"/>
    <n v="3"/>
    <n v="15.3"/>
    <n v="6.8"/>
    <n v="30"/>
    <n v="15"/>
    <n v="20"/>
    <n v="6.0465870048666659"/>
    <n v="0.47222585199999995"/>
    <n v="47.222585199999997"/>
  </r>
  <r>
    <s v="GWB"/>
    <x v="0"/>
    <x v="26"/>
    <x v="1"/>
    <s v="N48.91701 W055.64848"/>
    <s v="N48.91655 W055.64888"/>
    <n v="4"/>
    <n v="15.3"/>
    <n v="6.9"/>
    <n v="30"/>
    <n v="13"/>
    <n v="20"/>
    <n v="6.0465870048666659"/>
    <n v="0.47222585199999995"/>
    <n v="47.222585199999997"/>
  </r>
  <r>
    <s v="TJB"/>
    <x v="0"/>
    <x v="27"/>
    <x v="1"/>
    <s v="N48.89357 W056.01231"/>
    <s v="N48.893270 W056.013650"/>
    <n v="1"/>
    <n v="15.3"/>
    <n v="6.49"/>
    <n v="19"/>
    <n v="9"/>
    <n v="16"/>
    <n v="4.8022898885333332"/>
    <n v="0.3069369110416667"/>
    <n v="30.693691104166671"/>
  </r>
  <r>
    <s v="TJB"/>
    <x v="0"/>
    <x v="27"/>
    <x v="1"/>
    <s v="N48.89357 W056.01231"/>
    <s v="N48.893270 W056.013650"/>
    <n v="2"/>
    <n v="15.3"/>
    <n v="6.51"/>
    <n v="18"/>
    <n v="9"/>
    <n v="16"/>
    <n v="4.8022898885333332"/>
    <n v="0.3069369110416667"/>
    <n v="30.693691104166671"/>
  </r>
  <r>
    <s v="TJB"/>
    <x v="0"/>
    <x v="27"/>
    <x v="1"/>
    <s v="N48.89357 W056.01231"/>
    <s v="N48.893270 W056.013650"/>
    <n v="3"/>
    <n v="15.3"/>
    <n v="6.54"/>
    <n v="18"/>
    <n v="9"/>
    <n v="16"/>
    <n v="4.8022898885333332"/>
    <n v="0.3069369110416667"/>
    <n v="30.693691104166671"/>
  </r>
  <r>
    <s v="NPB-PW"/>
    <x v="0"/>
    <x v="28"/>
    <x v="1"/>
    <s v="N48.75180 W056.23413"/>
    <s v="N48.75145 W056.23388"/>
    <n v="1"/>
    <n v="13.4"/>
    <n v="6.92"/>
    <n v="34"/>
    <n v="17"/>
    <n v="32"/>
    <n v="5.5236756442666657"/>
    <n v="0.52106756036363633"/>
    <n v="52.106756036363635"/>
  </r>
  <r>
    <s v="NPB-PW"/>
    <x v="0"/>
    <x v="28"/>
    <x v="1"/>
    <s v="N48.75180 W056.23413"/>
    <s v="N48.75145 W056.23388"/>
    <n v="2"/>
    <n v="13.5"/>
    <n v="6.98"/>
    <n v="34"/>
    <n v="17"/>
    <n v="28"/>
    <n v="5.5236756442666657"/>
    <n v="0.52106756036363633"/>
    <n v="52.106756036363635"/>
  </r>
  <r>
    <s v="NPB-PW"/>
    <x v="0"/>
    <x v="28"/>
    <x v="1"/>
    <s v="N48.75180 W056.23413"/>
    <s v="N48.75145 W056.23388"/>
    <n v="3"/>
    <n v="13.5"/>
    <n v="6.98"/>
    <n v="33"/>
    <n v="17"/>
    <n v="24"/>
    <n v="5.5236756442666657"/>
    <n v="0.52106756036363633"/>
    <n v="52.106756036363635"/>
  </r>
  <r>
    <s v="JPB"/>
    <x v="0"/>
    <x v="29"/>
    <x v="1"/>
    <s v="N48.98091 W055.38828"/>
    <s v="N48.98050 W055.38767"/>
    <n v="1"/>
    <n v="15.3"/>
    <n v="6.79"/>
    <n v="28"/>
    <n v="14"/>
    <n v="24"/>
    <n v="4.9469873982666668"/>
    <n v="0.42214386460909098"/>
    <n v="42.214386460909097"/>
  </r>
  <r>
    <s v="JPB"/>
    <x v="0"/>
    <x v="29"/>
    <x v="1"/>
    <s v="N48.98091 W055.38828"/>
    <s v="N48.98050 W055.38767"/>
    <n v="2"/>
    <n v="15.3"/>
    <n v="6.84"/>
    <n v="28"/>
    <n v="14"/>
    <n v="24"/>
    <n v="4.9469873982666668"/>
    <n v="0.42214386460909098"/>
    <n v="42.214386460909097"/>
  </r>
  <r>
    <s v="JPB"/>
    <x v="0"/>
    <x v="29"/>
    <x v="1"/>
    <s v="N48.98091 W055.38828"/>
    <s v="N48.98050 W055.38767"/>
    <n v="3"/>
    <n v="15.3"/>
    <n v="6.9"/>
    <n v="28"/>
    <n v="14"/>
    <n v="20"/>
    <n v="4.9469873982666668"/>
    <n v="0.42214386460909098"/>
    <n v="42.214386460909097"/>
  </r>
  <r>
    <s v="GRB-IS"/>
    <x v="0"/>
    <x v="30"/>
    <x v="1"/>
    <s v="N48.90750 W055.55503"/>
    <s v="N48.90776 W055.55571"/>
    <n v="1"/>
    <n v="18.5"/>
    <n v="7.05"/>
    <n v="24"/>
    <n v="12"/>
    <n v="16"/>
    <n v="4.1064155396666671"/>
    <n v="0.29232174494545454"/>
    <n v="29.232174494545454"/>
  </r>
  <r>
    <s v="GRB-IS"/>
    <x v="0"/>
    <x v="30"/>
    <x v="1"/>
    <s v="N48.90750 W055.55503"/>
    <s v="N48.90776 W055.55571"/>
    <n v="2"/>
    <n v="18.600000000000001"/>
    <n v="7.11"/>
    <n v="22"/>
    <n v="11"/>
    <n v="20"/>
    <n v="4.1064155396666671"/>
    <n v="0.29232174494545454"/>
    <n v="29.232174494545454"/>
  </r>
  <r>
    <s v="GRB-IS"/>
    <x v="0"/>
    <x v="30"/>
    <x v="1"/>
    <s v="N48.90750 W055.55503"/>
    <s v="N48.90776 W055.55571"/>
    <n v="3"/>
    <n v="18.600000000000001"/>
    <n v="7.12"/>
    <n v="22"/>
    <n v="11"/>
    <n v="16"/>
    <n v="4.1064155396666671"/>
    <n v="0.29232174494545454"/>
    <n v="29.232174494545454"/>
  </r>
  <r>
    <s v="GRB-RP"/>
    <x v="0"/>
    <x v="31"/>
    <x v="1"/>
    <s v="N48.74886 W055.52757"/>
    <s v="N48.74799 W055.527226"/>
    <n v="1"/>
    <n v="15.6"/>
    <n v="6.93"/>
    <n v="29"/>
    <n v="14"/>
    <n v="20"/>
    <n v="8.2024251098571419"/>
    <n v="0.54587404904166681"/>
    <n v="54.587404904166682"/>
  </r>
  <r>
    <s v="GRB-RP"/>
    <x v="0"/>
    <x v="31"/>
    <x v="1"/>
    <s v="N48.74886 W055.52757"/>
    <s v="N48.74799 W055.527226"/>
    <n v="2"/>
    <n v="15.5"/>
    <n v="6.94"/>
    <n v="25"/>
    <n v="13"/>
    <n v="20"/>
    <n v="8.2024251098571419"/>
    <n v="0.54587404904166681"/>
    <n v="54.587404904166682"/>
  </r>
  <r>
    <s v="GRB-RP"/>
    <x v="0"/>
    <x v="31"/>
    <x v="1"/>
    <s v="N48.74886 W055.52757"/>
    <s v="N48.74799 W055.527226"/>
    <n v="3"/>
    <n v="15.4"/>
    <n v="6.89"/>
    <n v="27"/>
    <n v="13"/>
    <n v="16"/>
    <n v="8.2024251098571419"/>
    <n v="0.54587404904166681"/>
    <n v="54.587404904166682"/>
  </r>
  <r>
    <s v="BUJ"/>
    <x v="0"/>
    <x v="32"/>
    <x v="1"/>
    <s v="N48.84579 W056.47289"/>
    <s v="N48.84465 W056.47173"/>
    <n v="1"/>
    <n v="14.8"/>
    <n v="6.64"/>
    <n v="37"/>
    <n v="18"/>
    <n v="32"/>
    <n v="5.4940331291333324"/>
    <n v="0.3238780544"/>
    <n v="32.387805440000001"/>
  </r>
  <r>
    <s v="BUJ"/>
    <x v="0"/>
    <x v="32"/>
    <x v="1"/>
    <s v="N48.84579 W056.47289"/>
    <s v="N48.84465 W056.47173"/>
    <n v="2"/>
    <n v="14.8"/>
    <n v="6.82"/>
    <n v="39"/>
    <n v="19"/>
    <n v="56"/>
    <n v="5.4940331291333324"/>
    <n v="0.3238780544"/>
    <n v="32.387805440000001"/>
  </r>
  <r>
    <s v="BUJ"/>
    <x v="0"/>
    <x v="32"/>
    <x v="1"/>
    <s v="N48.84579 W056.47289"/>
    <s v="N48.84465 W056.47173"/>
    <n v="3"/>
    <n v="14.9"/>
    <n v="6.93"/>
    <n v="37"/>
    <n v="18"/>
    <n v="32"/>
    <n v="5.4940331291333324"/>
    <n v="0.3238780544"/>
    <n v="32.387805440000001"/>
  </r>
  <r>
    <s v="SLT-1"/>
    <x v="0"/>
    <x v="33"/>
    <x v="1"/>
    <s v="N48.68256 W056.95130"/>
    <s v="N48.68341 W056.95143"/>
    <n v="1"/>
    <n v="13.7"/>
    <n v="6.92"/>
    <n v="25"/>
    <n v="12"/>
    <n v="28"/>
    <n v="4.1537835125000004"/>
    <n v="0.22467287998333332"/>
    <n v="22.467287998333333"/>
  </r>
  <r>
    <s v="SLT-1"/>
    <x v="0"/>
    <x v="33"/>
    <x v="1"/>
    <s v="N48.68256 W056.95130"/>
    <s v="N48.68341 W056.95143"/>
    <n v="2"/>
    <n v="13.7"/>
    <n v="6.96"/>
    <n v="24"/>
    <n v="12"/>
    <n v="28"/>
    <n v="4.1537835125000004"/>
    <n v="0.22467287998333332"/>
    <n v="22.467287998333333"/>
  </r>
  <r>
    <s v="SLT-1"/>
    <x v="0"/>
    <x v="33"/>
    <x v="1"/>
    <s v="N48.68256 W056.95130"/>
    <s v="N48.68341 W056.95143"/>
    <n v="3"/>
    <n v="13.8"/>
    <n v="7.01"/>
    <n v="25"/>
    <n v="13"/>
    <n v="28"/>
    <n v="4.1537835125000004"/>
    <n v="0.22467287998333332"/>
    <n v="22.467287998333333"/>
  </r>
  <r>
    <s v="HRP"/>
    <x v="0"/>
    <x v="34"/>
    <x v="1"/>
    <s v="N48.640141 W0.056.91361"/>
    <s v="N48.63984 W056.91285"/>
    <n v="1"/>
    <n v="17.399999999999999"/>
    <n v="7.13"/>
    <n v="35"/>
    <n v="17"/>
    <n v="24"/>
    <n v="3.3600619440666666"/>
    <n v="0.25362220578181816"/>
    <n v="25.362220578181816"/>
  </r>
  <r>
    <s v="HRP"/>
    <x v="0"/>
    <x v="34"/>
    <x v="1"/>
    <s v="N48.640141 W0.056.91361"/>
    <s v="N48.63984 W056.91285"/>
    <n v="2"/>
    <n v="17.399999999999999"/>
    <n v="7.18"/>
    <n v="33"/>
    <n v="16"/>
    <n v="24"/>
    <n v="3.3600619440666666"/>
    <n v="0.25362220578181816"/>
    <n v="25.362220578181816"/>
  </r>
  <r>
    <s v="HRP"/>
    <x v="0"/>
    <x v="34"/>
    <x v="1"/>
    <s v="N48.640141 W0.056.91361"/>
    <s v="N48.63984 W056.91285"/>
    <n v="3"/>
    <n v="17.3"/>
    <n v="7.15"/>
    <n v="33"/>
    <n v="16"/>
    <n v="24"/>
    <n v="3.3600619440666666"/>
    <n v="0.25362220578181816"/>
    <n v="25.362220578181816"/>
  </r>
  <r>
    <s v="JUR"/>
    <x v="0"/>
    <x v="35"/>
    <x v="1"/>
    <s v="N48.97447 W056.01804"/>
    <s v="N48.97482 W056.01755"/>
    <n v="1"/>
    <n v="14.8"/>
    <n v="6.95"/>
    <n v="19"/>
    <n v="9"/>
    <n v="32"/>
    <n v="4.4477030789333343"/>
    <n v="0.20616093449090914"/>
    <n v="20.616093449090915"/>
  </r>
  <r>
    <s v="JUR"/>
    <x v="0"/>
    <x v="35"/>
    <x v="1"/>
    <s v="N48.97447 W056.01804"/>
    <s v="N48.97482 W056.01755"/>
    <n v="2"/>
    <n v="14.8"/>
    <n v="6.94"/>
    <n v="19"/>
    <n v="9"/>
    <n v="28"/>
    <n v="4.4477030789333343"/>
    <n v="0.20616093449090914"/>
    <n v="20.616093449090915"/>
  </r>
  <r>
    <s v="JUR"/>
    <x v="0"/>
    <x v="35"/>
    <x v="1"/>
    <s v="N48.97447 W056.01804"/>
    <s v="N48.97482 W056.01755"/>
    <n v="3"/>
    <n v="14.8"/>
    <n v="6.94"/>
    <n v="19"/>
    <n v="9"/>
    <n v="28"/>
    <n v="4.4477030789333343"/>
    <n v="0.20616093449090914"/>
    <n v="20.616093449090915"/>
  </r>
  <r>
    <s v="GRB-CL"/>
    <x v="0"/>
    <x v="36"/>
    <x v="1"/>
    <s v="N48.94477 W055.50529"/>
    <s v="N48.94574 W0.55.50520"/>
    <n v="1"/>
    <n v="15.6"/>
    <n v="6.81"/>
    <n v="53"/>
    <n v="27"/>
    <n v="28"/>
    <n v="4.8881372214666658"/>
    <n v="0.28279279456666667"/>
    <n v="28.279279456666668"/>
  </r>
  <r>
    <s v="GRB-CL"/>
    <x v="0"/>
    <x v="36"/>
    <x v="1"/>
    <s v="N48.94477 W055.50529"/>
    <s v="N48.94574 W0.55.50520"/>
    <n v="2"/>
    <n v="15.6"/>
    <n v="6.78"/>
    <n v="53"/>
    <n v="27"/>
    <n v="32"/>
    <n v="4.8881372214666658"/>
    <n v="0.28279279456666667"/>
    <n v="28.279279456666668"/>
  </r>
  <r>
    <s v="GRB-CL"/>
    <x v="0"/>
    <x v="36"/>
    <x v="1"/>
    <s v="N48.94477 W055.50529"/>
    <s v="N48.94574 W0.55.50520"/>
    <n v="3"/>
    <n v="15.6"/>
    <n v="6.78"/>
    <n v="53"/>
    <n v="26"/>
    <n v="28"/>
    <n v="4.8881372214666658"/>
    <n v="0.28279279456666667"/>
    <n v="28.279279456666668"/>
  </r>
  <r>
    <s v="BPB"/>
    <x v="0"/>
    <x v="37"/>
    <x v="1"/>
    <s v="N48.75338 W056.59022"/>
    <s v="N48.75265 W056.59016"/>
    <n v="1"/>
    <n v="16.3"/>
    <n v="7.09"/>
    <n v="32"/>
    <n v="16"/>
    <n v="24"/>
    <n v="5.2851403684166671"/>
    <n v="0.36068357055384609"/>
    <n v="36.06835705538461"/>
  </r>
  <r>
    <s v="BPB"/>
    <x v="0"/>
    <x v="37"/>
    <x v="1"/>
    <s v="N48.75338 W056.59022"/>
    <s v="N48.75265 W056.59016"/>
    <n v="2"/>
    <n v="16.3"/>
    <n v="7.1"/>
    <n v="32"/>
    <n v="16"/>
    <n v="24"/>
    <n v="5.2851403684166671"/>
    <n v="0.36068357055384609"/>
    <n v="36.06835705538461"/>
  </r>
  <r>
    <s v="BPB"/>
    <x v="0"/>
    <x v="37"/>
    <x v="1"/>
    <s v="N48.75338 W056.59022"/>
    <s v="N48.75265 W056.59016"/>
    <n v="3"/>
    <n v="16.3"/>
    <n v="7.09"/>
    <n v="32"/>
    <n v="16"/>
    <n v="28"/>
    <n v="5.2851403684166671"/>
    <n v="0.36068357055384609"/>
    <n v="36.06835705538461"/>
  </r>
  <r>
    <s v="TTB"/>
    <x v="0"/>
    <x v="38"/>
    <x v="1"/>
    <s v="N48.87520 W055.48917"/>
    <s v="N48.87584 W055.48901"/>
    <n v="1"/>
    <n v="16.7"/>
    <n v="6.93"/>
    <n v="25"/>
    <n v="12"/>
    <n v="16"/>
    <n v="6.1325999963571434"/>
    <n v="0.35329257564166666"/>
    <n v="35.329257564166667"/>
  </r>
  <r>
    <s v="TTB"/>
    <x v="0"/>
    <x v="38"/>
    <x v="1"/>
    <s v="N48.87520 W055.48917"/>
    <s v="N48.87584 W055.48901"/>
    <n v="2"/>
    <n v="16.8"/>
    <n v="6.93"/>
    <n v="25"/>
    <n v="12"/>
    <n v="20"/>
    <n v="6.1325999963571434"/>
    <n v="0.35329257564166666"/>
    <n v="35.329257564166667"/>
  </r>
  <r>
    <s v="TTB"/>
    <x v="0"/>
    <x v="38"/>
    <x v="1"/>
    <s v="N48.87520 W055.48917"/>
    <s v="N48.87584 W055.48901"/>
    <n v="3"/>
    <n v="16.8"/>
    <n v="6.93"/>
    <n v="25"/>
    <n v="12"/>
    <m/>
    <n v="6.1325999963571434"/>
    <n v="0.35329257564166666"/>
    <n v="35.329257564166667"/>
  </r>
  <r>
    <s v="BCB-WQ-7"/>
    <x v="1"/>
    <x v="39"/>
    <x v="0"/>
    <m/>
    <m/>
    <m/>
    <m/>
    <n v="7.0350000000000001"/>
    <n v="32"/>
    <m/>
    <m/>
    <n v="2.4033029227499996"/>
    <n v="0.12367252446000002"/>
    <n v="12.367252446000002"/>
  </r>
  <r>
    <s v="BGB-WQ-3"/>
    <x v="1"/>
    <x v="39"/>
    <x v="0"/>
    <m/>
    <m/>
    <m/>
    <m/>
    <n v="6.8249999999999993"/>
    <n v="22.5"/>
    <m/>
    <m/>
    <n v="3.5423283433636357"/>
    <n v="0.23352307900833336"/>
    <n v="23.352307900833335"/>
  </r>
  <r>
    <s v="GRB-WQ-1"/>
    <x v="1"/>
    <x v="40"/>
    <x v="0"/>
    <m/>
    <m/>
    <m/>
    <m/>
    <n v="7.1275000000000004"/>
    <n v="38.25"/>
    <m/>
    <m/>
    <n v="4.6111702171999998"/>
    <n v="0.21761462299090911"/>
    <n v="21.761462299090912"/>
  </r>
  <r>
    <s v="HPB-WQ-5"/>
    <x v="1"/>
    <x v="40"/>
    <x v="0"/>
    <m/>
    <m/>
    <m/>
    <m/>
    <n v="7.1124999999999998"/>
    <n v="49.5"/>
    <m/>
    <m/>
    <n v="4.6429985142000003"/>
    <n v="0.37149870673000002"/>
    <n v="37.149870673000002"/>
  </r>
  <r>
    <s v="LYR-WQ-9"/>
    <x v="1"/>
    <x v="39"/>
    <x v="0"/>
    <m/>
    <m/>
    <m/>
    <m/>
    <n v="7.1349999999999998"/>
    <n v="32.25"/>
    <m/>
    <m/>
    <n v="3.020719327636364"/>
    <n v="0.11614152184545454"/>
    <n v="11.614152184545453"/>
  </r>
  <r>
    <s v="MRM-WQ-6"/>
    <x v="1"/>
    <x v="39"/>
    <x v="0"/>
    <m/>
    <m/>
    <m/>
    <m/>
    <n v="7.1549999999999994"/>
    <n v="37"/>
    <m/>
    <m/>
    <n v="2.4770056730000003"/>
    <n v="0.14240795660909092"/>
    <n v="14.240795660909091"/>
  </r>
  <r>
    <s v="NPB-WQ-4"/>
    <x v="1"/>
    <x v="41"/>
    <x v="0"/>
    <m/>
    <m/>
    <m/>
    <m/>
    <n v="7.085"/>
    <n v="36.25"/>
    <m/>
    <m/>
    <n v="3.6021380819999993"/>
    <n v="0.21406021040000001"/>
    <n v="21.406021039999999"/>
  </r>
  <r>
    <s v="SDB-WQ-2"/>
    <x v="1"/>
    <x v="41"/>
    <x v="0"/>
    <m/>
    <m/>
    <m/>
    <m/>
    <n v="7.0325000000000006"/>
    <n v="34"/>
    <m/>
    <m/>
    <n v="3.5806292077999999"/>
    <n v="0.19081708110833331"/>
    <n v="19.081708110833333"/>
  </r>
  <r>
    <s v="SHD-WQ-8"/>
    <x v="1"/>
    <x v="39"/>
    <x v="0"/>
    <m/>
    <m/>
    <m/>
    <m/>
    <n v="7.1449999999999996"/>
    <n v="33.25"/>
    <m/>
    <m/>
    <n v="1.5713926381818184"/>
    <n v="0.12163555875454546"/>
    <n v="12.163555875454545"/>
  </r>
  <r>
    <s v="VTR-WQ-10"/>
    <x v="1"/>
    <x v="39"/>
    <x v="0"/>
    <m/>
    <m/>
    <m/>
    <m/>
    <n v="7.1650000000000009"/>
    <n v="36.75"/>
    <m/>
    <m/>
    <n v="2.6784185622727268"/>
    <n v="0.18395838574000001"/>
    <n v="18.395838574000003"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  <r>
    <m/>
    <x v="2"/>
    <x v="40"/>
    <x v="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B5E34-01DF-5445-A25B-C6E078D3C8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G17" firstHeaderRow="0" firstDataRow="1" firstDataCol="1" rowPageCount="1" colPageCount="1"/>
  <pivotFields count="20">
    <pivotField showAll="0"/>
    <pivotField showAll="0"/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t="default"/>
      </items>
    </pivotField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4"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" hier="-1"/>
  </pageFields>
  <dataFields count="6">
    <dataField name="Average of Alkalinity (ppm)" fld="11" subtotal="average" baseField="0" baseItem="0"/>
    <dataField name="Average of Dissolved solids (ppm)" fld="10" subtotal="average" baseField="0" baseItem="0"/>
    <dataField name="Average of EC" fld="9" subtotal="average" baseField="0" baseItem="0"/>
    <dataField name="Average of pH" fld="8" subtotal="average" baseField="0" baseItem="0"/>
    <dataField name="Average of DOC" fld="12" subtotal="average" baseField="0" baseItem="0"/>
    <dataField name="Average of TDN*100" fld="14" subtotal="average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F586D-B19F-4544-B63D-E51E91163D6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G8" firstHeaderRow="0" firstDataRow="1" firstDataCol="1" rowPageCount="2" colPageCount="1"/>
  <pivotFields count="20">
    <pivotField showAll="0"/>
    <pivotField axis="axisPage" multipleItemSelectionAllowed="1" showAll="0">
      <items count="4">
        <item x="1"/>
        <item h="1" x="0"/>
        <item h="1" x="2"/>
        <item t="default"/>
      </items>
    </pivotField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 v="39"/>
    </i>
    <i>
      <x v="40"/>
    </i>
    <i>
      <x v="4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3" hier="-1"/>
    <pageField fld="1" hier="-1"/>
  </pageFields>
  <dataFields count="6">
    <dataField name="Average of Alkalinity (ppm)" fld="11" subtotal="average" baseField="0" baseItem="0"/>
    <dataField name="Average of Dissolved solids (ppm)" fld="10" subtotal="average" baseField="0" baseItem="0"/>
    <dataField name="Average of EC" fld="9" subtotal="average" baseField="0" baseItem="0"/>
    <dataField name="Average of pH" fld="8" subtotal="average" baseField="0" baseItem="0"/>
    <dataField name="Average of DOC" fld="12" subtotal="average" baseField="0" baseItem="0"/>
    <dataField name="Average of TDN*100" fld="14" subtotal="average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19CB8-B9B4-094A-8B37-0B5D27DC9F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:G31" firstHeaderRow="0" firstDataRow="1" firstDataCol="1" rowPageCount="2" colPageCount="1"/>
  <pivotFields count="20"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Row" showAll="0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40"/>
        <item x="39"/>
        <item x="41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3" hier="-1"/>
    <pageField fld="1" hier="-1"/>
  </pageFields>
  <dataFields count="6">
    <dataField name="Average of Alkalinity (ppm)" fld="11" subtotal="average" baseField="0" baseItem="0"/>
    <dataField name="Average of Dissolved solids (ppm)" fld="10" subtotal="average" baseField="0" baseItem="0"/>
    <dataField name="Average of EC" fld="9" subtotal="average" baseField="0" baseItem="0"/>
    <dataField name="Average of pH" fld="8" subtotal="average" baseField="0" baseItem="0"/>
    <dataField name="Average of DOC" fld="12" subtotal="average" baseField="0" baseItem="0"/>
    <dataField name="Average of TDN*100" fld="14" subtotal="average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7B27-8B57-E940-9D33-E4557DE91F19}">
  <dimension ref="A1:G17"/>
  <sheetViews>
    <sheetView workbookViewId="0">
      <selection activeCell="E33" sqref="E33"/>
    </sheetView>
  </sheetViews>
  <sheetFormatPr baseColWidth="10" defaultRowHeight="13" x14ac:dyDescent="0.15"/>
  <cols>
    <col min="1" max="1" width="13.1640625" bestFit="1" customWidth="1"/>
    <col min="2" max="2" width="23.5" bestFit="1" customWidth="1"/>
    <col min="3" max="3" width="29.6640625" bestFit="1" customWidth="1"/>
    <col min="4" max="4" width="12.83203125" bestFit="1" customWidth="1"/>
    <col min="5" max="5" width="12.6640625" bestFit="1" customWidth="1"/>
    <col min="6" max="6" width="14.1640625" bestFit="1" customWidth="1"/>
    <col min="7" max="7" width="17.6640625" bestFit="1" customWidth="1"/>
  </cols>
  <sheetData>
    <row r="1" spans="1:7" x14ac:dyDescent="0.15">
      <c r="A1" s="22" t="s">
        <v>2</v>
      </c>
      <c r="B1" s="23">
        <v>2025</v>
      </c>
    </row>
    <row r="3" spans="1:7" x14ac:dyDescent="0.15">
      <c r="A3" s="22" t="s">
        <v>207</v>
      </c>
      <c r="B3" t="s">
        <v>212</v>
      </c>
      <c r="C3" t="s">
        <v>211</v>
      </c>
      <c r="D3" t="s">
        <v>210</v>
      </c>
      <c r="E3" t="s">
        <v>209</v>
      </c>
      <c r="F3" t="s">
        <v>230</v>
      </c>
      <c r="G3" t="s">
        <v>232</v>
      </c>
    </row>
    <row r="4" spans="1:7" x14ac:dyDescent="0.15">
      <c r="A4" s="24">
        <v>45824</v>
      </c>
      <c r="B4">
        <v>21.333333333333332</v>
      </c>
      <c r="C4">
        <v>14.666666666666666</v>
      </c>
      <c r="D4">
        <v>30.666666666666668</v>
      </c>
      <c r="E4">
        <v>6.833333333333333</v>
      </c>
      <c r="F4">
        <v>6.0465870048666659</v>
      </c>
      <c r="G4">
        <v>47.222585199999997</v>
      </c>
    </row>
    <row r="5" spans="1:7" x14ac:dyDescent="0.15">
      <c r="A5" s="24">
        <v>45825</v>
      </c>
      <c r="B5">
        <v>16</v>
      </c>
      <c r="C5">
        <v>9</v>
      </c>
      <c r="D5">
        <v>18.333333333333332</v>
      </c>
      <c r="E5">
        <v>6.5133333333333328</v>
      </c>
      <c r="F5">
        <v>4.8022898885333332</v>
      </c>
      <c r="G5">
        <v>30.693691104166671</v>
      </c>
    </row>
    <row r="6" spans="1:7" x14ac:dyDescent="0.15">
      <c r="A6" s="24">
        <v>45826</v>
      </c>
      <c r="B6">
        <v>28</v>
      </c>
      <c r="C6">
        <v>17</v>
      </c>
      <c r="D6">
        <v>33.666666666666664</v>
      </c>
      <c r="E6">
        <v>6.9600000000000009</v>
      </c>
      <c r="F6">
        <v>5.5236756442666648</v>
      </c>
      <c r="G6">
        <v>52.106756036363635</v>
      </c>
    </row>
    <row r="7" spans="1:7" x14ac:dyDescent="0.15">
      <c r="A7" s="24">
        <v>45827</v>
      </c>
      <c r="B7">
        <v>22.666666666666668</v>
      </c>
      <c r="C7">
        <v>14</v>
      </c>
      <c r="D7">
        <v>28</v>
      </c>
      <c r="E7">
        <v>6.8433333333333337</v>
      </c>
      <c r="F7">
        <v>4.9469873982666668</v>
      </c>
      <c r="G7">
        <v>42.214386460909097</v>
      </c>
    </row>
    <row r="8" spans="1:7" x14ac:dyDescent="0.15">
      <c r="A8" s="24">
        <v>45829</v>
      </c>
      <c r="B8">
        <v>17.333333333333332</v>
      </c>
      <c r="C8">
        <v>11.333333333333334</v>
      </c>
      <c r="D8">
        <v>22.666666666666668</v>
      </c>
      <c r="E8">
        <v>7.0933333333333337</v>
      </c>
      <c r="F8">
        <v>4.1064155396666671</v>
      </c>
      <c r="G8">
        <v>29.23217449454545</v>
      </c>
    </row>
    <row r="9" spans="1:7" x14ac:dyDescent="0.15">
      <c r="A9" s="24">
        <v>45831</v>
      </c>
      <c r="B9">
        <v>18.666666666666668</v>
      </c>
      <c r="C9">
        <v>13.333333333333334</v>
      </c>
      <c r="D9">
        <v>27</v>
      </c>
      <c r="E9">
        <v>6.919999999999999</v>
      </c>
      <c r="F9">
        <v>8.2024251098571419</v>
      </c>
      <c r="G9">
        <v>54.587404904166682</v>
      </c>
    </row>
    <row r="10" spans="1:7" x14ac:dyDescent="0.15">
      <c r="A10" s="24">
        <v>45832</v>
      </c>
      <c r="B10">
        <v>40</v>
      </c>
      <c r="C10">
        <v>18.333333333333332</v>
      </c>
      <c r="D10">
        <v>37.666666666666664</v>
      </c>
      <c r="E10">
        <v>6.7966666666666669</v>
      </c>
      <c r="F10">
        <v>5.4940331291333324</v>
      </c>
      <c r="G10">
        <v>32.387805440000001</v>
      </c>
    </row>
    <row r="11" spans="1:7" x14ac:dyDescent="0.15">
      <c r="A11" s="24">
        <v>45834</v>
      </c>
      <c r="B11">
        <v>28</v>
      </c>
      <c r="C11">
        <v>12.333333333333334</v>
      </c>
      <c r="D11">
        <v>24.666666666666668</v>
      </c>
      <c r="E11">
        <v>6.9633333333333338</v>
      </c>
      <c r="F11">
        <v>4.1537835125000004</v>
      </c>
      <c r="G11">
        <v>22.467287998333333</v>
      </c>
    </row>
    <row r="12" spans="1:7" x14ac:dyDescent="0.15">
      <c r="A12" s="24">
        <v>45835</v>
      </c>
      <c r="B12">
        <v>24</v>
      </c>
      <c r="C12">
        <v>16.333333333333332</v>
      </c>
      <c r="D12">
        <v>33.666666666666664</v>
      </c>
      <c r="E12">
        <v>7.1533333333333333</v>
      </c>
      <c r="F12">
        <v>3.3600619440666666</v>
      </c>
      <c r="G12">
        <v>25.362220578181816</v>
      </c>
    </row>
    <row r="13" spans="1:7" x14ac:dyDescent="0.15">
      <c r="A13" s="24">
        <v>45836</v>
      </c>
      <c r="B13">
        <v>29.333333333333332</v>
      </c>
      <c r="C13">
        <v>9</v>
      </c>
      <c r="D13">
        <v>19</v>
      </c>
      <c r="E13">
        <v>6.9433333333333342</v>
      </c>
      <c r="F13">
        <v>4.4477030789333343</v>
      </c>
      <c r="G13">
        <v>20.616093449090915</v>
      </c>
    </row>
    <row r="14" spans="1:7" x14ac:dyDescent="0.15">
      <c r="A14" s="24">
        <v>45837</v>
      </c>
      <c r="B14">
        <v>29.333333333333332</v>
      </c>
      <c r="C14">
        <v>26.666666666666668</v>
      </c>
      <c r="D14">
        <v>53</v>
      </c>
      <c r="E14">
        <v>6.79</v>
      </c>
      <c r="F14">
        <v>4.8881372214666658</v>
      </c>
      <c r="G14">
        <v>28.279279456666668</v>
      </c>
    </row>
    <row r="15" spans="1:7" x14ac:dyDescent="0.15">
      <c r="A15" s="24">
        <v>45838</v>
      </c>
      <c r="B15">
        <v>25.333333333333332</v>
      </c>
      <c r="C15">
        <v>16</v>
      </c>
      <c r="D15">
        <v>32</v>
      </c>
      <c r="E15">
        <v>7.0933333333333337</v>
      </c>
      <c r="F15">
        <v>5.2851403684166671</v>
      </c>
      <c r="G15">
        <v>36.06835705538461</v>
      </c>
    </row>
    <row r="16" spans="1:7" x14ac:dyDescent="0.15">
      <c r="A16" s="24">
        <v>45839</v>
      </c>
      <c r="B16">
        <v>18</v>
      </c>
      <c r="C16">
        <v>12</v>
      </c>
      <c r="D16">
        <v>25</v>
      </c>
      <c r="E16">
        <v>6.93</v>
      </c>
      <c r="F16">
        <v>6.1325999963571434</v>
      </c>
      <c r="G16">
        <v>35.329257564166667</v>
      </c>
    </row>
    <row r="17" spans="1:7" x14ac:dyDescent="0.15">
      <c r="A17" s="23" t="s">
        <v>208</v>
      </c>
      <c r="B17">
        <v>24.631578947368421</v>
      </c>
      <c r="C17">
        <v>14.615384615384615</v>
      </c>
      <c r="D17">
        <v>29.641025641025642</v>
      </c>
      <c r="E17">
        <v>6.9102564102564106</v>
      </c>
      <c r="F17">
        <v>5.1838338335639218</v>
      </c>
      <c r="G17">
        <v>35.120561518613499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CB60-1E71-994F-B626-2DCB3CE8E0E6}">
  <dimension ref="A1:G8"/>
  <sheetViews>
    <sheetView workbookViewId="0">
      <selection activeCell="F41" sqref="F41"/>
    </sheetView>
  </sheetViews>
  <sheetFormatPr baseColWidth="10" defaultRowHeight="13" x14ac:dyDescent="0.15"/>
  <cols>
    <col min="1" max="1" width="13.1640625" bestFit="1" customWidth="1"/>
    <col min="2" max="2" width="23.5" bestFit="1" customWidth="1"/>
    <col min="3" max="3" width="29.6640625" bestFit="1" customWidth="1"/>
    <col min="4" max="4" width="12.83203125" bestFit="1" customWidth="1"/>
    <col min="5" max="5" width="12.6640625" bestFit="1" customWidth="1"/>
    <col min="6" max="6" width="14.1640625" bestFit="1" customWidth="1"/>
    <col min="7" max="8" width="17.6640625" bestFit="1" customWidth="1"/>
  </cols>
  <sheetData>
    <row r="1" spans="1:7" x14ac:dyDescent="0.15">
      <c r="A1" s="22" t="s">
        <v>2</v>
      </c>
      <c r="B1" s="23">
        <v>2024</v>
      </c>
    </row>
    <row r="2" spans="1:7" x14ac:dyDescent="0.15">
      <c r="A2" s="22" t="s">
        <v>217</v>
      </c>
      <c r="B2" t="s">
        <v>229</v>
      </c>
    </row>
    <row r="4" spans="1:7" x14ac:dyDescent="0.15">
      <c r="A4" s="22" t="s">
        <v>207</v>
      </c>
      <c r="B4" t="s">
        <v>212</v>
      </c>
      <c r="C4" t="s">
        <v>211</v>
      </c>
      <c r="D4" t="s">
        <v>210</v>
      </c>
      <c r="E4" t="s">
        <v>209</v>
      </c>
      <c r="F4" t="s">
        <v>230</v>
      </c>
      <c r="G4" t="s">
        <v>232</v>
      </c>
    </row>
    <row r="5" spans="1:7" x14ac:dyDescent="0.15">
      <c r="A5" s="23" t="s">
        <v>215</v>
      </c>
      <c r="D5">
        <v>43.875</v>
      </c>
      <c r="E5">
        <v>7.12</v>
      </c>
      <c r="F5">
        <v>4.6270843657</v>
      </c>
      <c r="G5">
        <v>29.455666486045459</v>
      </c>
    </row>
    <row r="6" spans="1:7" x14ac:dyDescent="0.15">
      <c r="A6" s="24">
        <v>45550</v>
      </c>
      <c r="D6">
        <v>32.291666666666664</v>
      </c>
      <c r="E6">
        <v>7.0766666666666653</v>
      </c>
      <c r="F6">
        <v>2.6155279112007572</v>
      </c>
      <c r="G6">
        <v>15.355650440290404</v>
      </c>
    </row>
    <row r="7" spans="1:7" x14ac:dyDescent="0.15">
      <c r="A7" s="24">
        <v>45551</v>
      </c>
      <c r="D7">
        <v>35.125</v>
      </c>
      <c r="E7">
        <v>7.0587499999999999</v>
      </c>
      <c r="F7">
        <v>3.5913836448999996</v>
      </c>
      <c r="G7">
        <v>20.243864575416666</v>
      </c>
    </row>
    <row r="8" spans="1:7" x14ac:dyDescent="0.15">
      <c r="A8" s="23" t="s">
        <v>208</v>
      </c>
      <c r="D8">
        <v>35.174999999999997</v>
      </c>
      <c r="E8">
        <v>7.0817499999999978</v>
      </c>
      <c r="F8">
        <v>3.2130103488404544</v>
      </c>
      <c r="G8">
        <v>19.153296476466664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DEC7-1F03-EC45-8870-30D7C121B469}">
  <dimension ref="A1:G31"/>
  <sheetViews>
    <sheetView workbookViewId="0">
      <selection activeCell="F46" sqref="F46"/>
    </sheetView>
  </sheetViews>
  <sheetFormatPr baseColWidth="10" defaultRowHeight="13" x14ac:dyDescent="0.15"/>
  <cols>
    <col min="1" max="1" width="13.1640625" bestFit="1" customWidth="1"/>
    <col min="2" max="2" width="23.5" bestFit="1" customWidth="1"/>
    <col min="3" max="3" width="29.6640625" bestFit="1" customWidth="1"/>
    <col min="4" max="4" width="12.83203125" bestFit="1" customWidth="1"/>
    <col min="5" max="5" width="12.6640625" bestFit="1" customWidth="1"/>
    <col min="6" max="6" width="14.1640625" bestFit="1" customWidth="1"/>
    <col min="7" max="8" width="17.6640625" bestFit="1" customWidth="1"/>
  </cols>
  <sheetData>
    <row r="1" spans="1:7" x14ac:dyDescent="0.15">
      <c r="A1" s="22" t="s">
        <v>2</v>
      </c>
      <c r="B1" s="23">
        <v>2024</v>
      </c>
    </row>
    <row r="2" spans="1:7" x14ac:dyDescent="0.15">
      <c r="A2" s="22" t="s">
        <v>217</v>
      </c>
      <c r="B2" t="s">
        <v>228</v>
      </c>
    </row>
    <row r="4" spans="1:7" x14ac:dyDescent="0.15">
      <c r="A4" s="22" t="s">
        <v>207</v>
      </c>
      <c r="B4" t="s">
        <v>212</v>
      </c>
      <c r="C4" t="s">
        <v>211</v>
      </c>
      <c r="D4" t="s">
        <v>210</v>
      </c>
      <c r="E4" t="s">
        <v>209</v>
      </c>
      <c r="F4" t="s">
        <v>230</v>
      </c>
      <c r="G4" t="s">
        <v>232</v>
      </c>
    </row>
    <row r="5" spans="1:7" x14ac:dyDescent="0.15">
      <c r="A5" s="24">
        <v>45446</v>
      </c>
      <c r="B5">
        <v>28</v>
      </c>
      <c r="C5">
        <v>15.333333333333334</v>
      </c>
      <c r="D5">
        <v>30.333333333333332</v>
      </c>
      <c r="E5">
        <v>7.0233333333333334</v>
      </c>
      <c r="F5">
        <v>5.3722202707142861</v>
      </c>
      <c r="G5">
        <v>19.218306695000003</v>
      </c>
    </row>
    <row r="6" spans="1:7" x14ac:dyDescent="0.15">
      <c r="A6" s="24">
        <v>45447</v>
      </c>
      <c r="B6">
        <v>22</v>
      </c>
      <c r="C6">
        <v>12</v>
      </c>
      <c r="D6">
        <v>24</v>
      </c>
      <c r="E6">
        <v>6.8866666666666667</v>
      </c>
      <c r="F6">
        <v>4.9113413028749999</v>
      </c>
      <c r="G6">
        <v>16.226986640000003</v>
      </c>
    </row>
    <row r="7" spans="1:7" x14ac:dyDescent="0.15">
      <c r="A7" s="24">
        <v>45448</v>
      </c>
      <c r="B7">
        <v>17.333333333333332</v>
      </c>
      <c r="C7">
        <v>10.333333333333334</v>
      </c>
      <c r="D7">
        <v>20.666666666666668</v>
      </c>
      <c r="E7">
        <v>7.09</v>
      </c>
      <c r="F7">
        <v>5.5956409627499992</v>
      </c>
      <c r="G7">
        <v>16.063946271428573</v>
      </c>
    </row>
    <row r="8" spans="1:7" x14ac:dyDescent="0.15">
      <c r="A8" s="24">
        <v>45450</v>
      </c>
      <c r="B8">
        <v>20.666666666666668</v>
      </c>
      <c r="C8">
        <v>11</v>
      </c>
      <c r="D8">
        <v>22.666666666666668</v>
      </c>
      <c r="E8">
        <v>7.1533333333333333</v>
      </c>
      <c r="F8">
        <v>3.963664235</v>
      </c>
      <c r="G8">
        <v>16.883278641666667</v>
      </c>
    </row>
    <row r="9" spans="1:7" x14ac:dyDescent="0.15">
      <c r="A9" s="24">
        <v>45451</v>
      </c>
      <c r="B9">
        <v>26.5</v>
      </c>
      <c r="C9">
        <v>10.666666666666666</v>
      </c>
      <c r="D9">
        <v>21.5</v>
      </c>
      <c r="E9">
        <v>7.0166666666666657</v>
      </c>
      <c r="F9">
        <v>5.5546835469285716</v>
      </c>
      <c r="G9">
        <v>17.014453272053572</v>
      </c>
    </row>
    <row r="10" spans="1:7" x14ac:dyDescent="0.15">
      <c r="A10" s="24">
        <v>45452</v>
      </c>
      <c r="B10">
        <v>27.166666666666668</v>
      </c>
      <c r="C10">
        <v>11.5</v>
      </c>
      <c r="D10">
        <v>23.166666666666668</v>
      </c>
      <c r="E10">
        <v>6.9249999999999998</v>
      </c>
      <c r="F10">
        <v>6.9739925802619034</v>
      </c>
      <c r="G10">
        <v>22.767010545833333</v>
      </c>
    </row>
    <row r="11" spans="1:7" x14ac:dyDescent="0.15">
      <c r="A11" s="24">
        <v>45453</v>
      </c>
      <c r="B11">
        <v>17</v>
      </c>
      <c r="C11">
        <v>8.5</v>
      </c>
      <c r="D11">
        <v>17.166666666666668</v>
      </c>
      <c r="E11">
        <v>6.8416666666666659</v>
      </c>
      <c r="F11">
        <v>6.3354470320803573</v>
      </c>
      <c r="G11">
        <v>19.97734968875</v>
      </c>
    </row>
    <row r="12" spans="1:7" x14ac:dyDescent="0.15">
      <c r="A12" s="24">
        <v>45454</v>
      </c>
      <c r="B12">
        <v>20.666666666666668</v>
      </c>
      <c r="C12">
        <v>10.666666666666666</v>
      </c>
      <c r="D12">
        <v>21.333333333333332</v>
      </c>
      <c r="E12">
        <v>7.05</v>
      </c>
      <c r="F12">
        <v>4.3790311892589289</v>
      </c>
      <c r="G12">
        <v>16.585991929374995</v>
      </c>
    </row>
    <row r="13" spans="1:7" x14ac:dyDescent="0.15">
      <c r="A13" s="24">
        <v>45455</v>
      </c>
      <c r="B13">
        <v>22.333333333333332</v>
      </c>
      <c r="C13">
        <v>11.5</v>
      </c>
      <c r="D13">
        <v>22.333333333333332</v>
      </c>
      <c r="E13">
        <v>6.9050000000000002</v>
      </c>
      <c r="F13">
        <v>4.544729420705357</v>
      </c>
      <c r="G13">
        <v>13.466989867321429</v>
      </c>
    </row>
    <row r="14" spans="1:7" x14ac:dyDescent="0.15">
      <c r="A14" s="24">
        <v>45457</v>
      </c>
      <c r="B14">
        <v>20.75</v>
      </c>
      <c r="C14">
        <v>8.8333333333333339</v>
      </c>
      <c r="D14">
        <v>17.833333333333332</v>
      </c>
      <c r="E14">
        <v>6.6883333333333326</v>
      </c>
      <c r="F14">
        <v>5.051088437401785</v>
      </c>
      <c r="G14">
        <v>15.488605536875001</v>
      </c>
    </row>
    <row r="15" spans="1:7" x14ac:dyDescent="0.15">
      <c r="A15" s="24">
        <v>45458</v>
      </c>
      <c r="B15">
        <v>21</v>
      </c>
      <c r="C15">
        <v>7.166666666666667</v>
      </c>
      <c r="D15">
        <v>14.333333333333334</v>
      </c>
      <c r="E15">
        <v>6.2383333333333342</v>
      </c>
      <c r="F15">
        <v>7.948219699428571</v>
      </c>
      <c r="G15">
        <v>24.413810683571427</v>
      </c>
    </row>
    <row r="16" spans="1:7" x14ac:dyDescent="0.15">
      <c r="A16" s="24">
        <v>45460</v>
      </c>
      <c r="B16">
        <v>22.5</v>
      </c>
      <c r="C16">
        <v>10</v>
      </c>
      <c r="D16">
        <v>20.833333333333332</v>
      </c>
      <c r="E16">
        <v>7.0216666666666656</v>
      </c>
      <c r="F16">
        <v>4.5113548748571421</v>
      </c>
      <c r="G16">
        <v>13.431457049464287</v>
      </c>
    </row>
    <row r="17" spans="1:7" x14ac:dyDescent="0.15">
      <c r="A17" s="24">
        <v>45461</v>
      </c>
      <c r="B17">
        <v>23</v>
      </c>
      <c r="C17">
        <v>12.833333333333334</v>
      </c>
      <c r="D17">
        <v>26</v>
      </c>
      <c r="E17">
        <v>6.9233333333333329</v>
      </c>
      <c r="F17">
        <v>5.7123453016874999</v>
      </c>
      <c r="G17">
        <v>19.161494084285717</v>
      </c>
    </row>
    <row r="18" spans="1:7" x14ac:dyDescent="0.15">
      <c r="A18" s="24">
        <v>45462</v>
      </c>
      <c r="B18">
        <v>22</v>
      </c>
      <c r="C18">
        <v>13</v>
      </c>
      <c r="D18">
        <v>26.333333333333332</v>
      </c>
      <c r="E18">
        <v>7.0466666666666669</v>
      </c>
      <c r="F18">
        <v>6.0232914081428577</v>
      </c>
      <c r="G18">
        <v>22.260596231428575</v>
      </c>
    </row>
    <row r="19" spans="1:7" x14ac:dyDescent="0.15">
      <c r="A19" s="24">
        <v>45463</v>
      </c>
      <c r="B19">
        <v>24</v>
      </c>
      <c r="C19">
        <v>7</v>
      </c>
      <c r="D19">
        <v>14</v>
      </c>
      <c r="E19">
        <v>5.5233333333333334</v>
      </c>
      <c r="F19">
        <v>9.5248869962500002</v>
      </c>
      <c r="G19">
        <v>24.953892622499996</v>
      </c>
    </row>
    <row r="20" spans="1:7" x14ac:dyDescent="0.15">
      <c r="A20" s="24">
        <v>45464</v>
      </c>
      <c r="B20">
        <v>17.75</v>
      </c>
      <c r="C20">
        <v>9</v>
      </c>
      <c r="D20">
        <v>17.5</v>
      </c>
      <c r="E20">
        <v>6.8983333333333334</v>
      </c>
      <c r="F20">
        <v>3.7601925843571422</v>
      </c>
      <c r="G20">
        <v>13.945246468125001</v>
      </c>
    </row>
    <row r="21" spans="1:7" x14ac:dyDescent="0.15">
      <c r="A21" s="24">
        <v>45465</v>
      </c>
      <c r="B21">
        <v>21</v>
      </c>
      <c r="C21">
        <v>13.333333333333334</v>
      </c>
      <c r="D21">
        <v>26.833333333333332</v>
      </c>
      <c r="E21">
        <v>7.1233333333333322</v>
      </c>
      <c r="F21">
        <v>4.7928243298571429</v>
      </c>
      <c r="G21">
        <v>15.043213324999998</v>
      </c>
    </row>
    <row r="22" spans="1:7" x14ac:dyDescent="0.15">
      <c r="A22" s="24">
        <v>45466</v>
      </c>
      <c r="B22">
        <v>36</v>
      </c>
      <c r="C22">
        <v>20</v>
      </c>
      <c r="D22">
        <v>41</v>
      </c>
      <c r="E22">
        <v>7.47</v>
      </c>
      <c r="F22">
        <v>3.0154098606666664</v>
      </c>
      <c r="G22">
        <v>10.177391253333333</v>
      </c>
    </row>
    <row r="23" spans="1:7" x14ac:dyDescent="0.15">
      <c r="A23" s="24">
        <v>45468</v>
      </c>
      <c r="B23">
        <v>22</v>
      </c>
      <c r="C23">
        <v>8.8333333333333339</v>
      </c>
      <c r="D23">
        <v>17</v>
      </c>
      <c r="E23">
        <v>6.873333333333334</v>
      </c>
      <c r="F23">
        <v>4.6735248293690477</v>
      </c>
      <c r="G23">
        <v>18.426590591339288</v>
      </c>
    </row>
    <row r="24" spans="1:7" x14ac:dyDescent="0.15">
      <c r="A24" s="24">
        <v>45470</v>
      </c>
      <c r="B24">
        <v>14</v>
      </c>
      <c r="C24">
        <v>7</v>
      </c>
      <c r="D24">
        <v>14</v>
      </c>
      <c r="E24">
        <v>6.8966666666666674</v>
      </c>
      <c r="F24">
        <v>4.4489015867499999</v>
      </c>
      <c r="G24">
        <v>13.668485026666668</v>
      </c>
    </row>
    <row r="25" spans="1:7" x14ac:dyDescent="0.15">
      <c r="A25" s="24">
        <v>45471</v>
      </c>
      <c r="B25">
        <v>25.333333333333332</v>
      </c>
      <c r="C25">
        <v>12</v>
      </c>
      <c r="D25">
        <v>24</v>
      </c>
      <c r="E25">
        <v>7.25</v>
      </c>
      <c r="F25">
        <v>4.3151695769999998</v>
      </c>
      <c r="G25">
        <v>13.79803104</v>
      </c>
    </row>
    <row r="26" spans="1:7" x14ac:dyDescent="0.15">
      <c r="A26" s="24">
        <v>45472</v>
      </c>
      <c r="B26">
        <v>20</v>
      </c>
      <c r="C26">
        <v>14</v>
      </c>
      <c r="D26">
        <v>28.333333333333332</v>
      </c>
      <c r="E26">
        <v>7.32</v>
      </c>
      <c r="F26">
        <v>4.3964300841249999</v>
      </c>
      <c r="G26">
        <v>19.056448147142856</v>
      </c>
    </row>
    <row r="27" spans="1:7" x14ac:dyDescent="0.15">
      <c r="A27" s="24">
        <v>45473</v>
      </c>
      <c r="B27">
        <v>20</v>
      </c>
      <c r="C27">
        <v>12.333333333333334</v>
      </c>
      <c r="D27">
        <v>25</v>
      </c>
      <c r="E27">
        <v>7.3133333333333335</v>
      </c>
      <c r="F27">
        <v>3.152495407</v>
      </c>
      <c r="G27">
        <v>12.29751201857143</v>
      </c>
    </row>
    <row r="28" spans="1:7" x14ac:dyDescent="0.15">
      <c r="A28" s="24">
        <v>45474</v>
      </c>
      <c r="B28">
        <v>16</v>
      </c>
      <c r="C28">
        <v>14</v>
      </c>
      <c r="D28">
        <v>27.333333333333332</v>
      </c>
      <c r="E28">
        <v>7.06</v>
      </c>
      <c r="F28">
        <v>7.2656423791428564</v>
      </c>
      <c r="G28">
        <v>29.530455507499997</v>
      </c>
    </row>
    <row r="29" spans="1:7" x14ac:dyDescent="0.15">
      <c r="A29" s="24">
        <v>45475</v>
      </c>
      <c r="B29">
        <v>21</v>
      </c>
      <c r="C29">
        <v>12</v>
      </c>
      <c r="D29">
        <v>24</v>
      </c>
      <c r="E29">
        <v>7.18</v>
      </c>
      <c r="F29">
        <v>4.7089917621428565</v>
      </c>
      <c r="G29">
        <v>23.313117568124998</v>
      </c>
    </row>
    <row r="30" spans="1:7" x14ac:dyDescent="0.15">
      <c r="A30" s="24">
        <v>45481</v>
      </c>
      <c r="B30">
        <v>22</v>
      </c>
      <c r="C30">
        <v>14</v>
      </c>
      <c r="D30">
        <v>28.666666666666668</v>
      </c>
      <c r="E30">
        <v>7.0166666666666666</v>
      </c>
      <c r="F30">
        <v>4.6439338415714291</v>
      </c>
      <c r="G30">
        <v>24.243231601249999</v>
      </c>
    </row>
    <row r="31" spans="1:7" x14ac:dyDescent="0.15">
      <c r="A31" s="23" t="s">
        <v>208</v>
      </c>
      <c r="B31">
        <v>22.074468085106382</v>
      </c>
      <c r="C31">
        <v>11.068376068376068</v>
      </c>
      <c r="D31">
        <v>22.205128205128204</v>
      </c>
      <c r="E31">
        <v>6.9338461538461571</v>
      </c>
      <c r="F31">
        <v>5.2441507458630978</v>
      </c>
      <c r="G31">
        <v>18.062800587608365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118"/>
  <sheetViews>
    <sheetView tabSelected="1" workbookViewId="0">
      <pane xSplit="1" ySplit="1" topLeftCell="E150" activePane="bottomRight" state="frozen"/>
      <selection pane="topRight" activeCell="B1" sqref="B1"/>
      <selection pane="bottomLeft" activeCell="A2" sqref="A2"/>
      <selection pane="bottomRight" activeCell="G175" sqref="G175"/>
    </sheetView>
  </sheetViews>
  <sheetFormatPr baseColWidth="10" defaultColWidth="12.6640625" defaultRowHeight="15" customHeight="1" x14ac:dyDescent="0.15"/>
  <cols>
    <col min="1" max="1" width="14.6640625" style="23" customWidth="1"/>
    <col min="2" max="2" width="14.6640625" customWidth="1"/>
    <col min="3" max="3" width="11.5" style="21" customWidth="1"/>
    <col min="4" max="4" width="9.1640625" customWidth="1"/>
    <col min="5" max="5" width="26.1640625" customWidth="1"/>
    <col min="6" max="8" width="19.5" customWidth="1"/>
    <col min="9" max="9" width="9.83203125" customWidth="1"/>
    <col min="10" max="10" width="10.6640625" customWidth="1"/>
    <col min="11" max="11" width="8.33203125" bestFit="1" customWidth="1"/>
    <col min="12" max="12" width="5.83203125" customWidth="1"/>
    <col min="13" max="13" width="9.33203125" customWidth="1"/>
    <col min="14" max="14" width="11.33203125" customWidth="1"/>
  </cols>
  <sheetData>
    <row r="1" spans="1:18" ht="15.75" customHeight="1" x14ac:dyDescent="0.15">
      <c r="A1" s="27" t="s">
        <v>0</v>
      </c>
      <c r="B1" s="1" t="s">
        <v>217</v>
      </c>
      <c r="C1" s="17" t="s">
        <v>1</v>
      </c>
      <c r="D1" s="1" t="s">
        <v>2</v>
      </c>
      <c r="E1" s="1" t="s">
        <v>3</v>
      </c>
      <c r="F1" s="1" t="s">
        <v>4</v>
      </c>
      <c r="G1" s="1" t="s">
        <v>269</v>
      </c>
      <c r="H1" s="1" t="s">
        <v>270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25" t="s">
        <v>213</v>
      </c>
      <c r="P1" s="25" t="s">
        <v>214</v>
      </c>
      <c r="Q1" s="1" t="s">
        <v>231</v>
      </c>
      <c r="R1" s="1"/>
    </row>
    <row r="2" spans="1:18" ht="13" x14ac:dyDescent="0.15">
      <c r="A2" s="27" t="s">
        <v>220</v>
      </c>
      <c r="B2" s="2" t="s">
        <v>229</v>
      </c>
      <c r="D2" s="1">
        <v>2024</v>
      </c>
      <c r="G2" s="2" t="str">
        <f>RIGHT(E2,8)</f>
        <v/>
      </c>
      <c r="H2" s="2" t="str">
        <f t="shared" ref="H2:H33" si="0">MID(E2,3,8)</f>
        <v/>
      </c>
      <c r="I2" s="1"/>
      <c r="J2" s="1"/>
      <c r="K2" s="1">
        <v>7.1275000000000004</v>
      </c>
      <c r="L2" s="1">
        <v>38.25</v>
      </c>
      <c r="M2" s="1"/>
      <c r="N2" s="1"/>
      <c r="O2">
        <v>5.3722202707142861</v>
      </c>
      <c r="P2">
        <v>0.19218306695000001</v>
      </c>
      <c r="Q2">
        <f>P2*100</f>
        <v>19.218306695000003</v>
      </c>
    </row>
    <row r="3" spans="1:18" ht="15.75" customHeight="1" x14ac:dyDescent="0.15">
      <c r="A3" s="28" t="s">
        <v>129</v>
      </c>
      <c r="B3" s="2" t="s">
        <v>228</v>
      </c>
      <c r="C3" s="20">
        <v>45827</v>
      </c>
      <c r="D3" s="2">
        <v>2025</v>
      </c>
      <c r="E3" s="2" t="s">
        <v>258</v>
      </c>
      <c r="F3" s="2" t="s">
        <v>236</v>
      </c>
      <c r="G3" s="2" t="str">
        <f t="shared" ref="G3:G66" si="1">RIGHT(E3,8)</f>
        <v>55.38828</v>
      </c>
      <c r="H3" s="2" t="str">
        <f t="shared" si="0"/>
        <v>48.98091</v>
      </c>
      <c r="I3" s="11">
        <v>1</v>
      </c>
      <c r="J3" s="12">
        <v>15.3</v>
      </c>
      <c r="K3" s="13">
        <v>6.79</v>
      </c>
      <c r="L3" s="11">
        <v>28</v>
      </c>
      <c r="M3" s="11">
        <v>14</v>
      </c>
      <c r="N3" s="11">
        <v>24</v>
      </c>
      <c r="O3">
        <v>5.3722202707142861</v>
      </c>
      <c r="P3">
        <v>0.19218306695000001</v>
      </c>
      <c r="Q3">
        <f t="shared" ref="Q3:Q66" si="2">P3*100</f>
        <v>19.218306695000003</v>
      </c>
    </row>
    <row r="4" spans="1:18" ht="15.75" customHeight="1" x14ac:dyDescent="0.15">
      <c r="A4" s="28" t="s">
        <v>129</v>
      </c>
      <c r="B4" s="2" t="s">
        <v>228</v>
      </c>
      <c r="C4" s="20">
        <v>45827</v>
      </c>
      <c r="D4" s="2">
        <v>2025</v>
      </c>
      <c r="E4" s="2" t="s">
        <v>258</v>
      </c>
      <c r="F4" s="2" t="s">
        <v>236</v>
      </c>
      <c r="G4" s="2" t="str">
        <f t="shared" si="1"/>
        <v>55.38828</v>
      </c>
      <c r="H4" s="2" t="str">
        <f t="shared" si="0"/>
        <v>48.98091</v>
      </c>
      <c r="I4" s="11">
        <v>2</v>
      </c>
      <c r="J4" s="12">
        <v>15.3</v>
      </c>
      <c r="K4" s="13">
        <v>6.84</v>
      </c>
      <c r="L4" s="11">
        <v>28</v>
      </c>
      <c r="M4" s="11">
        <v>14</v>
      </c>
      <c r="N4" s="11">
        <v>24</v>
      </c>
      <c r="O4">
        <v>5.3722202707142861</v>
      </c>
      <c r="P4">
        <v>0.19218306695000001</v>
      </c>
      <c r="Q4">
        <f t="shared" si="2"/>
        <v>19.218306695000003</v>
      </c>
    </row>
    <row r="5" spans="1:18" ht="13" x14ac:dyDescent="0.15">
      <c r="A5" s="28" t="s">
        <v>129</v>
      </c>
      <c r="B5" s="2" t="s">
        <v>228</v>
      </c>
      <c r="C5" s="20">
        <v>45827</v>
      </c>
      <c r="D5" s="2">
        <v>2025</v>
      </c>
      <c r="E5" s="2" t="s">
        <v>258</v>
      </c>
      <c r="F5" s="2" t="s">
        <v>236</v>
      </c>
      <c r="G5" s="2" t="str">
        <f t="shared" si="1"/>
        <v>55.38828</v>
      </c>
      <c r="H5" s="2" t="str">
        <f t="shared" si="0"/>
        <v>48.98091</v>
      </c>
      <c r="I5" s="11">
        <v>3</v>
      </c>
      <c r="J5" s="12">
        <v>15.3</v>
      </c>
      <c r="K5" s="13">
        <v>6.9</v>
      </c>
      <c r="L5" s="11">
        <v>28</v>
      </c>
      <c r="M5" s="11">
        <v>14</v>
      </c>
      <c r="N5" s="11">
        <v>20</v>
      </c>
      <c r="O5">
        <v>4.9113413028749999</v>
      </c>
      <c r="P5">
        <v>0.16226986640000002</v>
      </c>
      <c r="Q5">
        <f t="shared" si="2"/>
        <v>16.226986640000003</v>
      </c>
    </row>
    <row r="6" spans="1:18" ht="15.75" customHeight="1" x14ac:dyDescent="0.15">
      <c r="A6" s="27" t="s">
        <v>14</v>
      </c>
      <c r="B6" s="2" t="s">
        <v>228</v>
      </c>
      <c r="C6" s="17">
        <v>45447</v>
      </c>
      <c r="D6" s="1">
        <v>2024</v>
      </c>
      <c r="E6" s="1" t="s">
        <v>15</v>
      </c>
      <c r="F6" s="1" t="s">
        <v>16</v>
      </c>
      <c r="G6" s="2" t="str">
        <f t="shared" si="1"/>
        <v>55.39803</v>
      </c>
      <c r="H6" s="2" t="str">
        <f t="shared" si="0"/>
        <v>49.02197</v>
      </c>
      <c r="I6" s="1">
        <v>1</v>
      </c>
      <c r="J6" s="5">
        <v>12.8</v>
      </c>
      <c r="K6" s="6">
        <v>6.87</v>
      </c>
      <c r="L6" s="1">
        <v>24</v>
      </c>
      <c r="M6" s="1">
        <v>12</v>
      </c>
      <c r="N6" s="1">
        <v>18</v>
      </c>
      <c r="O6">
        <v>4.9113413028749999</v>
      </c>
      <c r="P6">
        <v>0.16226986640000002</v>
      </c>
      <c r="Q6">
        <f t="shared" si="2"/>
        <v>16.226986640000003</v>
      </c>
    </row>
    <row r="7" spans="1:18" ht="15.75" customHeight="1" x14ac:dyDescent="0.15">
      <c r="A7" s="27" t="s">
        <v>14</v>
      </c>
      <c r="B7" s="2" t="s">
        <v>228</v>
      </c>
      <c r="C7" s="17">
        <v>45447</v>
      </c>
      <c r="D7" s="1">
        <v>2024</v>
      </c>
      <c r="E7" s="1" t="s">
        <v>15</v>
      </c>
      <c r="F7" s="1" t="s">
        <v>16</v>
      </c>
      <c r="G7" s="2" t="str">
        <f t="shared" si="1"/>
        <v>55.39803</v>
      </c>
      <c r="H7" s="2" t="str">
        <f t="shared" si="0"/>
        <v>49.02197</v>
      </c>
      <c r="I7" s="1">
        <v>2</v>
      </c>
      <c r="J7" s="5">
        <v>12.8</v>
      </c>
      <c r="K7" s="6">
        <v>6.89</v>
      </c>
      <c r="L7" s="1">
        <v>24</v>
      </c>
      <c r="M7" s="1">
        <v>12</v>
      </c>
      <c r="N7" s="1">
        <v>20</v>
      </c>
      <c r="O7">
        <v>4.9113413028749999</v>
      </c>
      <c r="P7">
        <v>0.16226986640000002</v>
      </c>
      <c r="Q7">
        <f t="shared" si="2"/>
        <v>16.226986640000003</v>
      </c>
    </row>
    <row r="8" spans="1:18" ht="15.75" customHeight="1" x14ac:dyDescent="0.15">
      <c r="A8" s="27" t="s">
        <v>14</v>
      </c>
      <c r="B8" s="2" t="s">
        <v>228</v>
      </c>
      <c r="C8" s="17">
        <v>45447</v>
      </c>
      <c r="D8" s="1">
        <v>2024</v>
      </c>
      <c r="E8" s="1" t="s">
        <v>15</v>
      </c>
      <c r="F8" s="1" t="s">
        <v>16</v>
      </c>
      <c r="G8" s="2" t="str">
        <f t="shared" si="1"/>
        <v>55.39803</v>
      </c>
      <c r="H8" s="2" t="str">
        <f t="shared" si="0"/>
        <v>49.02197</v>
      </c>
      <c r="I8" s="1">
        <v>3</v>
      </c>
      <c r="J8" s="5">
        <v>12.8</v>
      </c>
      <c r="K8" s="6">
        <v>6.9</v>
      </c>
      <c r="L8" s="1">
        <v>24</v>
      </c>
      <c r="M8" s="1">
        <v>12</v>
      </c>
      <c r="N8" s="1">
        <v>28</v>
      </c>
      <c r="O8">
        <v>5.5956409627499992</v>
      </c>
      <c r="P8">
        <v>0.16063946271428572</v>
      </c>
      <c r="Q8">
        <f t="shared" si="2"/>
        <v>16.063946271428573</v>
      </c>
    </row>
    <row r="9" spans="1:18" ht="15.75" customHeight="1" x14ac:dyDescent="0.15">
      <c r="A9" s="27" t="s">
        <v>216</v>
      </c>
      <c r="B9" s="2" t="s">
        <v>228</v>
      </c>
      <c r="C9" s="19">
        <v>45839</v>
      </c>
      <c r="D9" s="1">
        <v>2025</v>
      </c>
      <c r="E9" s="1" t="s">
        <v>268</v>
      </c>
      <c r="F9" s="1" t="s">
        <v>245</v>
      </c>
      <c r="G9" s="2" t="str">
        <f t="shared" si="1"/>
        <v>55.48917</v>
      </c>
      <c r="H9" s="2" t="str">
        <f t="shared" si="0"/>
        <v>48.87520</v>
      </c>
      <c r="I9" s="8">
        <v>1</v>
      </c>
      <c r="J9" s="9">
        <v>16.7</v>
      </c>
      <c r="K9" s="10">
        <v>6.93</v>
      </c>
      <c r="L9" s="8">
        <v>25</v>
      </c>
      <c r="M9" s="8">
        <v>12</v>
      </c>
      <c r="N9" s="8">
        <v>16</v>
      </c>
      <c r="O9">
        <v>5.5956409627499992</v>
      </c>
      <c r="P9">
        <v>0.16063946271428572</v>
      </c>
      <c r="Q9">
        <f t="shared" si="2"/>
        <v>16.063946271428573</v>
      </c>
    </row>
    <row r="10" spans="1:18" ht="15.75" customHeight="1" x14ac:dyDescent="0.15">
      <c r="A10" s="27" t="s">
        <v>216</v>
      </c>
      <c r="B10" s="2" t="s">
        <v>228</v>
      </c>
      <c r="C10" s="19">
        <v>45839</v>
      </c>
      <c r="D10" s="1">
        <v>2025</v>
      </c>
      <c r="E10" s="1" t="s">
        <v>268</v>
      </c>
      <c r="F10" s="1" t="s">
        <v>245</v>
      </c>
      <c r="G10" s="2" t="str">
        <f t="shared" si="1"/>
        <v>55.48917</v>
      </c>
      <c r="H10" s="2" t="str">
        <f t="shared" si="0"/>
        <v>48.87520</v>
      </c>
      <c r="I10" s="8">
        <v>2</v>
      </c>
      <c r="J10" s="9">
        <v>16.8</v>
      </c>
      <c r="K10" s="10">
        <v>6.93</v>
      </c>
      <c r="L10" s="8">
        <v>25</v>
      </c>
      <c r="M10" s="8">
        <v>12</v>
      </c>
      <c r="N10" s="8">
        <v>20</v>
      </c>
      <c r="O10">
        <v>5.5956409627499992</v>
      </c>
      <c r="P10">
        <v>0.16063946271428572</v>
      </c>
      <c r="Q10">
        <f t="shared" si="2"/>
        <v>16.063946271428573</v>
      </c>
    </row>
    <row r="11" spans="1:18" ht="15.75" customHeight="1" x14ac:dyDescent="0.15">
      <c r="A11" s="27" t="s">
        <v>216</v>
      </c>
      <c r="B11" s="2" t="s">
        <v>228</v>
      </c>
      <c r="C11" s="19">
        <v>45839</v>
      </c>
      <c r="D11" s="1">
        <v>2025</v>
      </c>
      <c r="E11" s="1" t="s">
        <v>268</v>
      </c>
      <c r="F11" s="1" t="s">
        <v>245</v>
      </c>
      <c r="G11" s="2" t="str">
        <f t="shared" si="1"/>
        <v>55.48917</v>
      </c>
      <c r="H11" s="2" t="str">
        <f t="shared" si="0"/>
        <v>48.87520</v>
      </c>
      <c r="I11" s="8">
        <v>3</v>
      </c>
      <c r="J11" s="9">
        <v>16.8</v>
      </c>
      <c r="K11" s="10">
        <v>6.93</v>
      </c>
      <c r="L11" s="8">
        <v>25</v>
      </c>
      <c r="M11" s="8">
        <v>12</v>
      </c>
      <c r="N11" s="1"/>
      <c r="O11">
        <v>3.963664235</v>
      </c>
      <c r="P11">
        <v>0.16883278641666669</v>
      </c>
      <c r="Q11">
        <f t="shared" si="2"/>
        <v>16.883278641666667</v>
      </c>
    </row>
    <row r="12" spans="1:18" ht="15.75" customHeight="1" x14ac:dyDescent="0.15">
      <c r="A12" s="28" t="s">
        <v>71</v>
      </c>
      <c r="B12" s="2" t="s">
        <v>228</v>
      </c>
      <c r="C12" s="18">
        <v>45461</v>
      </c>
      <c r="D12" s="2">
        <v>2024</v>
      </c>
      <c r="E12" s="2" t="s">
        <v>72</v>
      </c>
      <c r="F12" s="2" t="s">
        <v>73</v>
      </c>
      <c r="G12" s="2" t="str">
        <f t="shared" si="1"/>
        <v>55.48946</v>
      </c>
      <c r="H12" s="2" t="str">
        <f t="shared" si="0"/>
        <v>48.81880</v>
      </c>
      <c r="I12" s="2">
        <v>1</v>
      </c>
      <c r="J12" s="3">
        <v>19.600000000000001</v>
      </c>
      <c r="K12" s="4">
        <v>6.8</v>
      </c>
      <c r="L12" s="2">
        <v>18</v>
      </c>
      <c r="M12" s="2">
        <v>9</v>
      </c>
      <c r="N12" s="2">
        <v>18</v>
      </c>
      <c r="O12">
        <v>3.963664235</v>
      </c>
      <c r="P12">
        <v>0.16883278641666669</v>
      </c>
      <c r="Q12">
        <f t="shared" si="2"/>
        <v>16.883278641666667</v>
      </c>
    </row>
    <row r="13" spans="1:18" ht="15.75" customHeight="1" x14ac:dyDescent="0.15">
      <c r="A13" s="28" t="s">
        <v>71</v>
      </c>
      <c r="B13" s="2" t="s">
        <v>228</v>
      </c>
      <c r="C13" s="18">
        <v>45461</v>
      </c>
      <c r="D13" s="2">
        <v>2024</v>
      </c>
      <c r="E13" s="2" t="s">
        <v>72</v>
      </c>
      <c r="F13" s="2" t="s">
        <v>73</v>
      </c>
      <c r="G13" s="2" t="str">
        <f t="shared" si="1"/>
        <v>55.48946</v>
      </c>
      <c r="H13" s="2" t="str">
        <f t="shared" si="0"/>
        <v>48.81880</v>
      </c>
      <c r="I13" s="2">
        <v>2</v>
      </c>
      <c r="J13" s="3">
        <v>19.5</v>
      </c>
      <c r="K13" s="4">
        <v>6.81</v>
      </c>
      <c r="L13" s="2">
        <v>18</v>
      </c>
      <c r="M13" s="2">
        <v>9</v>
      </c>
      <c r="N13" s="2">
        <v>18</v>
      </c>
      <c r="O13">
        <v>3.963664235</v>
      </c>
      <c r="P13">
        <v>0.16883278641666669</v>
      </c>
      <c r="Q13">
        <f t="shared" si="2"/>
        <v>16.883278641666667</v>
      </c>
    </row>
    <row r="14" spans="1:18" ht="15.75" customHeight="1" x14ac:dyDescent="0.15">
      <c r="A14" s="28" t="s">
        <v>71</v>
      </c>
      <c r="B14" s="2" t="s">
        <v>228</v>
      </c>
      <c r="C14" s="18">
        <v>45461</v>
      </c>
      <c r="D14" s="2">
        <v>2024</v>
      </c>
      <c r="E14" s="2" t="s">
        <v>72</v>
      </c>
      <c r="F14" s="2" t="s">
        <v>73</v>
      </c>
      <c r="G14" s="2" t="str">
        <f t="shared" si="1"/>
        <v>55.48946</v>
      </c>
      <c r="H14" s="2" t="str">
        <f t="shared" si="0"/>
        <v>48.81880</v>
      </c>
      <c r="I14" s="2">
        <v>3</v>
      </c>
      <c r="J14" s="3">
        <v>19.399999999999999</v>
      </c>
      <c r="K14" s="4">
        <v>6.81</v>
      </c>
      <c r="L14" s="2">
        <v>18</v>
      </c>
      <c r="M14" s="2">
        <v>9</v>
      </c>
      <c r="N14" s="7"/>
      <c r="O14">
        <v>5.0880639304285724</v>
      </c>
      <c r="P14">
        <v>0.18007526212857144</v>
      </c>
      <c r="Q14">
        <f t="shared" si="2"/>
        <v>18.007526212857144</v>
      </c>
    </row>
    <row r="15" spans="1:18" ht="15.75" customHeight="1" x14ac:dyDescent="0.15">
      <c r="A15" s="28" t="s">
        <v>47</v>
      </c>
      <c r="B15" s="2" t="s">
        <v>228</v>
      </c>
      <c r="C15" s="18">
        <v>45455</v>
      </c>
      <c r="D15" s="2">
        <v>2024</v>
      </c>
      <c r="E15" s="2" t="s">
        <v>48</v>
      </c>
      <c r="F15" s="2" t="s">
        <v>49</v>
      </c>
      <c r="G15" s="2" t="str">
        <f t="shared" si="1"/>
        <v>55.49938</v>
      </c>
      <c r="H15" s="2" t="str">
        <f t="shared" si="0"/>
        <v>48.77488</v>
      </c>
      <c r="I15" s="2">
        <v>1</v>
      </c>
      <c r="J15" s="3">
        <v>17.399999999999999</v>
      </c>
      <c r="K15" s="4">
        <v>6.69</v>
      </c>
      <c r="L15" s="2">
        <v>17</v>
      </c>
      <c r="M15" s="2">
        <v>9</v>
      </c>
      <c r="N15" s="2">
        <v>32</v>
      </c>
      <c r="O15">
        <v>5.0880639304285724</v>
      </c>
      <c r="P15">
        <v>0.18007526212857144</v>
      </c>
      <c r="Q15">
        <f t="shared" si="2"/>
        <v>18.007526212857144</v>
      </c>
    </row>
    <row r="16" spans="1:18" ht="15.75" customHeight="1" x14ac:dyDescent="0.15">
      <c r="A16" s="28" t="s">
        <v>47</v>
      </c>
      <c r="B16" s="2" t="s">
        <v>228</v>
      </c>
      <c r="C16" s="18">
        <v>45455</v>
      </c>
      <c r="D16" s="2">
        <v>2024</v>
      </c>
      <c r="E16" s="2" t="s">
        <v>48</v>
      </c>
      <c r="F16" s="2" t="s">
        <v>49</v>
      </c>
      <c r="G16" s="2" t="str">
        <f t="shared" si="1"/>
        <v>55.49938</v>
      </c>
      <c r="H16" s="2" t="str">
        <f t="shared" si="0"/>
        <v>48.77488</v>
      </c>
      <c r="I16" s="2">
        <v>2</v>
      </c>
      <c r="J16" s="3">
        <v>17.5</v>
      </c>
      <c r="K16" s="4">
        <v>6.7</v>
      </c>
      <c r="L16" s="2">
        <v>17</v>
      </c>
      <c r="M16" s="2">
        <v>9</v>
      </c>
      <c r="N16" s="2">
        <v>20</v>
      </c>
      <c r="O16">
        <v>5.0880639304285724</v>
      </c>
      <c r="P16">
        <v>0.18007526212857144</v>
      </c>
      <c r="Q16">
        <f t="shared" si="2"/>
        <v>18.007526212857144</v>
      </c>
    </row>
    <row r="17" spans="1:17" ht="15.75" customHeight="1" x14ac:dyDescent="0.15">
      <c r="A17" s="28" t="s">
        <v>47</v>
      </c>
      <c r="B17" s="2" t="s">
        <v>228</v>
      </c>
      <c r="C17" s="18">
        <v>45455</v>
      </c>
      <c r="D17" s="2">
        <v>2024</v>
      </c>
      <c r="E17" s="2" t="s">
        <v>48</v>
      </c>
      <c r="F17" s="2" t="s">
        <v>49</v>
      </c>
      <c r="G17" s="2" t="str">
        <f t="shared" si="1"/>
        <v>55.49938</v>
      </c>
      <c r="H17" s="2" t="str">
        <f t="shared" si="0"/>
        <v>48.77488</v>
      </c>
      <c r="I17" s="2">
        <v>3</v>
      </c>
      <c r="J17" s="3">
        <v>17.5</v>
      </c>
      <c r="K17" s="4">
        <v>6.71</v>
      </c>
      <c r="L17" s="2">
        <v>17</v>
      </c>
      <c r="M17" s="2">
        <v>9</v>
      </c>
      <c r="N17" s="2">
        <v>22</v>
      </c>
      <c r="O17">
        <v>6.0213031634285707</v>
      </c>
      <c r="P17">
        <v>0.16021380331250001</v>
      </c>
      <c r="Q17">
        <f t="shared" si="2"/>
        <v>16.02138033125</v>
      </c>
    </row>
    <row r="18" spans="1:17" ht="15.75" customHeight="1" x14ac:dyDescent="0.15">
      <c r="A18" s="27" t="s">
        <v>136</v>
      </c>
      <c r="B18" s="2" t="s">
        <v>228</v>
      </c>
      <c r="C18" s="19">
        <v>45837</v>
      </c>
      <c r="D18" s="1">
        <v>2025</v>
      </c>
      <c r="E18" s="1" t="s">
        <v>266</v>
      </c>
      <c r="F18" s="1" t="s">
        <v>243</v>
      </c>
      <c r="G18" s="2" t="str">
        <f t="shared" si="1"/>
        <v>55.50529</v>
      </c>
      <c r="H18" s="2" t="str">
        <f t="shared" si="0"/>
        <v>48.94477</v>
      </c>
      <c r="I18" s="8">
        <v>1</v>
      </c>
      <c r="J18" s="9">
        <v>15.6</v>
      </c>
      <c r="K18" s="10">
        <v>6.81</v>
      </c>
      <c r="L18" s="8">
        <v>53</v>
      </c>
      <c r="M18" s="8">
        <v>27</v>
      </c>
      <c r="N18" s="8">
        <v>28</v>
      </c>
      <c r="O18">
        <v>6.0213031634285707</v>
      </c>
      <c r="P18">
        <v>0.16021380331250001</v>
      </c>
      <c r="Q18">
        <f t="shared" si="2"/>
        <v>16.02138033125</v>
      </c>
    </row>
    <row r="19" spans="1:17" ht="15.75" customHeight="1" x14ac:dyDescent="0.15">
      <c r="A19" s="27" t="s">
        <v>136</v>
      </c>
      <c r="B19" s="2" t="s">
        <v>228</v>
      </c>
      <c r="C19" s="19">
        <v>45837</v>
      </c>
      <c r="D19" s="1">
        <v>2025</v>
      </c>
      <c r="E19" s="1" t="s">
        <v>266</v>
      </c>
      <c r="F19" s="1" t="s">
        <v>243</v>
      </c>
      <c r="G19" s="2" t="str">
        <f t="shared" si="1"/>
        <v>55.50529</v>
      </c>
      <c r="H19" s="2" t="str">
        <f t="shared" si="0"/>
        <v>48.94477</v>
      </c>
      <c r="I19" s="8">
        <v>2</v>
      </c>
      <c r="J19" s="9">
        <v>15.6</v>
      </c>
      <c r="K19" s="10">
        <v>6.78</v>
      </c>
      <c r="L19" s="8">
        <v>53</v>
      </c>
      <c r="M19" s="8">
        <v>27</v>
      </c>
      <c r="N19" s="8">
        <v>32</v>
      </c>
      <c r="O19">
        <v>6.0213031634285707</v>
      </c>
      <c r="P19">
        <v>0.16021380331250001</v>
      </c>
      <c r="Q19">
        <f t="shared" si="2"/>
        <v>16.02138033125</v>
      </c>
    </row>
    <row r="20" spans="1:17" ht="15.75" customHeight="1" x14ac:dyDescent="0.15">
      <c r="A20" s="27" t="s">
        <v>136</v>
      </c>
      <c r="B20" s="2" t="s">
        <v>228</v>
      </c>
      <c r="C20" s="19">
        <v>45837</v>
      </c>
      <c r="D20" s="1">
        <v>2025</v>
      </c>
      <c r="E20" s="1" t="s">
        <v>266</v>
      </c>
      <c r="F20" s="1" t="s">
        <v>243</v>
      </c>
      <c r="G20" s="2" t="str">
        <f t="shared" si="1"/>
        <v>55.50529</v>
      </c>
      <c r="H20" s="2" t="str">
        <f t="shared" si="0"/>
        <v>48.94477</v>
      </c>
      <c r="I20" s="8">
        <v>3</v>
      </c>
      <c r="J20" s="9">
        <v>15.6</v>
      </c>
      <c r="K20" s="10">
        <v>6.78</v>
      </c>
      <c r="L20" s="8">
        <v>53</v>
      </c>
      <c r="M20" s="8">
        <v>26</v>
      </c>
      <c r="N20" s="8">
        <v>28</v>
      </c>
      <c r="O20">
        <v>7.3073886238571424</v>
      </c>
      <c r="P20">
        <v>0.23219911330000001</v>
      </c>
      <c r="Q20">
        <f t="shared" si="2"/>
        <v>23.219911330000002</v>
      </c>
    </row>
    <row r="21" spans="1:17" ht="15.75" customHeight="1" x14ac:dyDescent="0.15">
      <c r="A21" s="28" t="s">
        <v>131</v>
      </c>
      <c r="B21" s="2" t="s">
        <v>228</v>
      </c>
      <c r="C21" s="20">
        <v>45831</v>
      </c>
      <c r="D21" s="2">
        <v>2025</v>
      </c>
      <c r="E21" s="2" t="s">
        <v>260</v>
      </c>
      <c r="F21" s="2" t="s">
        <v>238</v>
      </c>
      <c r="G21" s="2" t="str">
        <f t="shared" si="1"/>
        <v>55.52757</v>
      </c>
      <c r="H21" s="2" t="str">
        <f t="shared" si="0"/>
        <v>48.74886</v>
      </c>
      <c r="I21" s="11">
        <v>1</v>
      </c>
      <c r="J21" s="12">
        <v>15.6</v>
      </c>
      <c r="K21" s="13">
        <v>6.93</v>
      </c>
      <c r="L21" s="11">
        <v>29</v>
      </c>
      <c r="M21" s="11">
        <v>14</v>
      </c>
      <c r="N21" s="11">
        <v>20</v>
      </c>
      <c r="O21">
        <v>7.3073886238571424</v>
      </c>
      <c r="P21">
        <v>0.23219911330000001</v>
      </c>
      <c r="Q21">
        <f t="shared" si="2"/>
        <v>23.219911330000002</v>
      </c>
    </row>
    <row r="22" spans="1:17" ht="15.75" customHeight="1" x14ac:dyDescent="0.15">
      <c r="A22" s="28" t="s">
        <v>131</v>
      </c>
      <c r="B22" s="2" t="s">
        <v>228</v>
      </c>
      <c r="C22" s="20">
        <v>45831</v>
      </c>
      <c r="D22" s="2">
        <v>2025</v>
      </c>
      <c r="E22" s="2" t="s">
        <v>260</v>
      </c>
      <c r="F22" s="2" t="s">
        <v>238</v>
      </c>
      <c r="G22" s="2" t="str">
        <f t="shared" si="1"/>
        <v>55.52757</v>
      </c>
      <c r="H22" s="2" t="str">
        <f t="shared" si="0"/>
        <v>48.74886</v>
      </c>
      <c r="I22" s="11">
        <v>2</v>
      </c>
      <c r="J22" s="12">
        <v>15.5</v>
      </c>
      <c r="K22" s="13">
        <v>6.94</v>
      </c>
      <c r="L22" s="11">
        <v>25</v>
      </c>
      <c r="M22" s="11">
        <v>13</v>
      </c>
      <c r="N22" s="11">
        <v>20</v>
      </c>
      <c r="O22">
        <v>7.3073886238571424</v>
      </c>
      <c r="P22">
        <v>0.23219911330000001</v>
      </c>
      <c r="Q22">
        <f t="shared" si="2"/>
        <v>23.219911330000002</v>
      </c>
    </row>
    <row r="23" spans="1:17" ht="15.75" customHeight="1" x14ac:dyDescent="0.15">
      <c r="A23" s="28" t="s">
        <v>131</v>
      </c>
      <c r="B23" s="2" t="s">
        <v>228</v>
      </c>
      <c r="C23" s="20">
        <v>45831</v>
      </c>
      <c r="D23" s="2">
        <v>2025</v>
      </c>
      <c r="E23" s="2" t="s">
        <v>260</v>
      </c>
      <c r="F23" s="2" t="s">
        <v>238</v>
      </c>
      <c r="G23" s="2" t="str">
        <f t="shared" si="1"/>
        <v>55.52757</v>
      </c>
      <c r="H23" s="2" t="str">
        <f t="shared" si="0"/>
        <v>48.74886</v>
      </c>
      <c r="I23" s="11">
        <v>3</v>
      </c>
      <c r="J23" s="12">
        <v>15.4</v>
      </c>
      <c r="K23" s="13">
        <v>6.89</v>
      </c>
      <c r="L23" s="11">
        <v>27</v>
      </c>
      <c r="M23" s="11">
        <v>13</v>
      </c>
      <c r="N23" s="11">
        <v>16</v>
      </c>
      <c r="O23">
        <v>6.6405965366666662</v>
      </c>
      <c r="P23">
        <v>0.22314109761666667</v>
      </c>
      <c r="Q23">
        <f t="shared" si="2"/>
        <v>22.314109761666668</v>
      </c>
    </row>
    <row r="24" spans="1:17" ht="15.75" customHeight="1" x14ac:dyDescent="0.15">
      <c r="A24" s="28" t="s">
        <v>29</v>
      </c>
      <c r="B24" s="2" t="s">
        <v>228</v>
      </c>
      <c r="C24" s="18">
        <v>45452</v>
      </c>
      <c r="D24" s="2">
        <v>2024</v>
      </c>
      <c r="E24" s="2" t="s">
        <v>30</v>
      </c>
      <c r="F24" s="2" t="s">
        <v>31</v>
      </c>
      <c r="G24" s="2" t="str">
        <f t="shared" si="1"/>
        <v>55.52758</v>
      </c>
      <c r="H24" s="2" t="str">
        <f t="shared" si="0"/>
        <v>48.74380</v>
      </c>
      <c r="I24" s="2">
        <v>1</v>
      </c>
      <c r="J24" s="3">
        <v>16.899999999999999</v>
      </c>
      <c r="K24" s="4">
        <v>6.77</v>
      </c>
      <c r="L24" s="2">
        <v>22</v>
      </c>
      <c r="M24" s="2">
        <v>11</v>
      </c>
      <c r="N24" s="2">
        <v>44</v>
      </c>
      <c r="O24">
        <v>6.6405965366666662</v>
      </c>
      <c r="P24">
        <v>0.22314109761666667</v>
      </c>
      <c r="Q24">
        <f t="shared" si="2"/>
        <v>22.314109761666668</v>
      </c>
    </row>
    <row r="25" spans="1:17" ht="15.75" customHeight="1" x14ac:dyDescent="0.15">
      <c r="A25" s="28" t="s">
        <v>29</v>
      </c>
      <c r="B25" s="2" t="s">
        <v>228</v>
      </c>
      <c r="C25" s="18">
        <v>45452</v>
      </c>
      <c r="D25" s="2">
        <v>2024</v>
      </c>
      <c r="E25" s="2" t="s">
        <v>30</v>
      </c>
      <c r="F25" s="2" t="s">
        <v>31</v>
      </c>
      <c r="G25" s="2" t="str">
        <f t="shared" si="1"/>
        <v>55.52758</v>
      </c>
      <c r="H25" s="2" t="str">
        <f t="shared" si="0"/>
        <v>48.74380</v>
      </c>
      <c r="I25" s="2">
        <v>2</v>
      </c>
      <c r="J25" s="3">
        <v>16.899999999999999</v>
      </c>
      <c r="K25" s="4">
        <v>6.8</v>
      </c>
      <c r="L25" s="2">
        <v>22</v>
      </c>
      <c r="M25" s="2">
        <v>11</v>
      </c>
      <c r="N25" s="2">
        <v>24</v>
      </c>
      <c r="O25">
        <v>6.6405965366666662</v>
      </c>
      <c r="P25">
        <v>0.22314109761666667</v>
      </c>
      <c r="Q25">
        <f t="shared" si="2"/>
        <v>22.314109761666668</v>
      </c>
    </row>
    <row r="26" spans="1:17" ht="15.75" customHeight="1" x14ac:dyDescent="0.15">
      <c r="A26" s="28" t="s">
        <v>29</v>
      </c>
      <c r="B26" s="2" t="s">
        <v>228</v>
      </c>
      <c r="C26" s="18">
        <v>45452</v>
      </c>
      <c r="D26" s="2">
        <v>2024</v>
      </c>
      <c r="E26" s="2" t="s">
        <v>30</v>
      </c>
      <c r="F26" s="2" t="s">
        <v>31</v>
      </c>
      <c r="G26" s="2" t="str">
        <f t="shared" si="1"/>
        <v>55.52758</v>
      </c>
      <c r="H26" s="2" t="str">
        <f t="shared" si="0"/>
        <v>48.74380</v>
      </c>
      <c r="I26" s="2">
        <v>3</v>
      </c>
      <c r="J26" s="3">
        <v>16.899999999999999</v>
      </c>
      <c r="K26" s="4">
        <v>6.8</v>
      </c>
      <c r="L26" s="2">
        <v>21</v>
      </c>
      <c r="M26" s="2">
        <v>11</v>
      </c>
      <c r="N26" s="2">
        <v>24</v>
      </c>
      <c r="O26">
        <v>7.504742324875</v>
      </c>
      <c r="P26">
        <v>0.23770799087499997</v>
      </c>
      <c r="Q26">
        <f t="shared" si="2"/>
        <v>23.770799087499999</v>
      </c>
    </row>
    <row r="27" spans="1:17" ht="15.75" customHeight="1" x14ac:dyDescent="0.15">
      <c r="A27" s="27" t="s">
        <v>20</v>
      </c>
      <c r="B27" s="2" t="s">
        <v>228</v>
      </c>
      <c r="C27" s="17">
        <v>45450</v>
      </c>
      <c r="D27" s="1">
        <v>2024</v>
      </c>
      <c r="E27" s="1" t="s">
        <v>21</v>
      </c>
      <c r="F27" s="1" t="s">
        <v>22</v>
      </c>
      <c r="G27" s="2" t="str">
        <f t="shared" si="1"/>
        <v>55.53745</v>
      </c>
      <c r="H27" s="2" t="str">
        <f t="shared" si="0"/>
        <v>48.91158</v>
      </c>
      <c r="I27" s="1">
        <v>1</v>
      </c>
      <c r="J27" s="5">
        <v>13.9</v>
      </c>
      <c r="K27" s="6">
        <v>7.18</v>
      </c>
      <c r="L27" s="1">
        <v>23</v>
      </c>
      <c r="M27" s="1">
        <v>11</v>
      </c>
      <c r="N27" s="1">
        <v>20</v>
      </c>
      <c r="O27">
        <v>7.504742324875</v>
      </c>
      <c r="P27">
        <v>0.23770799087499997</v>
      </c>
      <c r="Q27">
        <f t="shared" si="2"/>
        <v>23.770799087499999</v>
      </c>
    </row>
    <row r="28" spans="1:17" ht="15.75" customHeight="1" x14ac:dyDescent="0.15">
      <c r="A28" s="27" t="s">
        <v>20</v>
      </c>
      <c r="B28" s="2" t="s">
        <v>228</v>
      </c>
      <c r="C28" s="17">
        <v>45450</v>
      </c>
      <c r="D28" s="1">
        <v>2024</v>
      </c>
      <c r="E28" s="1" t="s">
        <v>21</v>
      </c>
      <c r="F28" s="1" t="s">
        <v>22</v>
      </c>
      <c r="G28" s="2" t="str">
        <f t="shared" si="1"/>
        <v>55.53745</v>
      </c>
      <c r="H28" s="2" t="str">
        <f t="shared" si="0"/>
        <v>48.91158</v>
      </c>
      <c r="I28" s="1">
        <v>2</v>
      </c>
      <c r="J28" s="5">
        <v>13.9</v>
      </c>
      <c r="K28" s="6">
        <v>7.15</v>
      </c>
      <c r="L28" s="1">
        <v>23</v>
      </c>
      <c r="M28" s="1">
        <v>11</v>
      </c>
      <c r="N28" s="1">
        <v>22</v>
      </c>
      <c r="O28">
        <v>7.504742324875</v>
      </c>
      <c r="P28">
        <v>0.23770799087499997</v>
      </c>
      <c r="Q28">
        <f t="shared" si="2"/>
        <v>23.770799087499999</v>
      </c>
    </row>
    <row r="29" spans="1:17" ht="15.75" customHeight="1" x14ac:dyDescent="0.15">
      <c r="A29" s="27" t="s">
        <v>20</v>
      </c>
      <c r="B29" s="2" t="s">
        <v>228</v>
      </c>
      <c r="C29" s="17">
        <v>45450</v>
      </c>
      <c r="D29" s="1">
        <v>2024</v>
      </c>
      <c r="E29" s="1" t="s">
        <v>21</v>
      </c>
      <c r="F29" s="1" t="s">
        <v>22</v>
      </c>
      <c r="G29" s="2" t="str">
        <f t="shared" si="1"/>
        <v>55.53745</v>
      </c>
      <c r="H29" s="2" t="str">
        <f t="shared" si="0"/>
        <v>48.91158</v>
      </c>
      <c r="I29" s="1">
        <v>3</v>
      </c>
      <c r="J29" s="5">
        <v>13.8</v>
      </c>
      <c r="K29" s="6">
        <v>7.13</v>
      </c>
      <c r="L29" s="1">
        <v>22</v>
      </c>
      <c r="M29" s="1">
        <v>11</v>
      </c>
      <c r="N29" s="1">
        <v>20</v>
      </c>
      <c r="O29">
        <v>5.1661517392857146</v>
      </c>
      <c r="P29">
        <v>0.16183900290000003</v>
      </c>
      <c r="Q29">
        <f t="shared" si="2"/>
        <v>16.183900290000004</v>
      </c>
    </row>
    <row r="30" spans="1:17" ht="15.75" customHeight="1" x14ac:dyDescent="0.15">
      <c r="A30" s="27" t="s">
        <v>130</v>
      </c>
      <c r="B30" s="2" t="s">
        <v>228</v>
      </c>
      <c r="C30" s="19">
        <v>45829</v>
      </c>
      <c r="D30" s="1">
        <v>2025</v>
      </c>
      <c r="E30" s="1" t="s">
        <v>259</v>
      </c>
      <c r="F30" s="1" t="s">
        <v>237</v>
      </c>
      <c r="G30" s="2" t="str">
        <f t="shared" si="1"/>
        <v>55.55503</v>
      </c>
      <c r="H30" s="2" t="str">
        <f t="shared" si="0"/>
        <v>48.90750</v>
      </c>
      <c r="I30" s="8">
        <v>1</v>
      </c>
      <c r="J30" s="9">
        <v>18.5</v>
      </c>
      <c r="K30" s="10">
        <v>7.05</v>
      </c>
      <c r="L30" s="8">
        <v>24</v>
      </c>
      <c r="M30" s="8">
        <v>12</v>
      </c>
      <c r="N30" s="8">
        <v>16</v>
      </c>
      <c r="O30">
        <v>5.1661517392857146</v>
      </c>
      <c r="P30">
        <v>0.16183900290000003</v>
      </c>
      <c r="Q30">
        <f t="shared" si="2"/>
        <v>16.183900290000004</v>
      </c>
    </row>
    <row r="31" spans="1:17" ht="15.75" customHeight="1" x14ac:dyDescent="0.15">
      <c r="A31" s="27" t="s">
        <v>130</v>
      </c>
      <c r="B31" s="2" t="s">
        <v>228</v>
      </c>
      <c r="C31" s="19">
        <v>45829</v>
      </c>
      <c r="D31" s="1">
        <v>2025</v>
      </c>
      <c r="E31" s="1" t="s">
        <v>259</v>
      </c>
      <c r="F31" s="1" t="s">
        <v>237</v>
      </c>
      <c r="G31" s="2" t="str">
        <f t="shared" si="1"/>
        <v>55.55503</v>
      </c>
      <c r="H31" s="2" t="str">
        <f t="shared" si="0"/>
        <v>48.90750</v>
      </c>
      <c r="I31" s="8">
        <v>2</v>
      </c>
      <c r="J31" s="9">
        <v>18.600000000000001</v>
      </c>
      <c r="K31" s="10">
        <v>7.11</v>
      </c>
      <c r="L31" s="8">
        <v>22</v>
      </c>
      <c r="M31" s="8">
        <v>11</v>
      </c>
      <c r="N31" s="8">
        <v>20</v>
      </c>
      <c r="O31">
        <v>5.1661517392857146</v>
      </c>
      <c r="P31">
        <v>0.16183900290000003</v>
      </c>
      <c r="Q31">
        <f t="shared" si="2"/>
        <v>16.183900290000004</v>
      </c>
    </row>
    <row r="32" spans="1:17" ht="15.75" customHeight="1" x14ac:dyDescent="0.15">
      <c r="A32" s="27" t="s">
        <v>130</v>
      </c>
      <c r="B32" s="2" t="s">
        <v>228</v>
      </c>
      <c r="C32" s="19">
        <v>45829</v>
      </c>
      <c r="D32" s="1">
        <v>2025</v>
      </c>
      <c r="E32" s="1" t="s">
        <v>259</v>
      </c>
      <c r="F32" s="1" t="s">
        <v>237</v>
      </c>
      <c r="G32" s="2" t="str">
        <f t="shared" si="1"/>
        <v>55.55503</v>
      </c>
      <c r="H32" s="2" t="str">
        <f t="shared" si="0"/>
        <v>48.90750</v>
      </c>
      <c r="I32" s="8">
        <v>3</v>
      </c>
      <c r="J32" s="9">
        <v>18.600000000000001</v>
      </c>
      <c r="K32" s="10">
        <v>7.12</v>
      </c>
      <c r="L32" s="8">
        <v>22</v>
      </c>
      <c r="M32" s="8">
        <v>11</v>
      </c>
      <c r="N32" s="8">
        <v>16</v>
      </c>
      <c r="O32">
        <v>4.2457634553750001</v>
      </c>
      <c r="P32">
        <v>0.16880035509999997</v>
      </c>
      <c r="Q32">
        <f t="shared" si="2"/>
        <v>16.880035509999995</v>
      </c>
    </row>
    <row r="33" spans="1:17" ht="15.75" customHeight="1" x14ac:dyDescent="0.15">
      <c r="A33" s="27" t="s">
        <v>74</v>
      </c>
      <c r="B33" s="2" t="s">
        <v>228</v>
      </c>
      <c r="C33" s="17">
        <v>45461</v>
      </c>
      <c r="D33" s="1">
        <v>2024</v>
      </c>
      <c r="E33" s="1" t="s">
        <v>75</v>
      </c>
      <c r="F33" s="1" t="s">
        <v>76</v>
      </c>
      <c r="G33" s="2" t="str">
        <f t="shared" si="1"/>
        <v>55.61086</v>
      </c>
      <c r="H33" s="2" t="str">
        <f t="shared" si="0"/>
        <v>48.92211</v>
      </c>
      <c r="I33" s="1">
        <v>1</v>
      </c>
      <c r="J33" s="5">
        <v>18.8</v>
      </c>
      <c r="K33" s="6">
        <v>7.09</v>
      </c>
      <c r="L33" s="1">
        <v>37</v>
      </c>
      <c r="M33" s="1">
        <v>18</v>
      </c>
      <c r="N33" s="1">
        <v>28</v>
      </c>
      <c r="O33">
        <v>4.2457634553750001</v>
      </c>
      <c r="P33">
        <v>0.16880035509999997</v>
      </c>
      <c r="Q33">
        <f t="shared" si="2"/>
        <v>16.880035509999995</v>
      </c>
    </row>
    <row r="34" spans="1:17" ht="15.75" customHeight="1" x14ac:dyDescent="0.15">
      <c r="A34" s="27" t="s">
        <v>74</v>
      </c>
      <c r="B34" s="2" t="s">
        <v>228</v>
      </c>
      <c r="C34" s="17">
        <v>45461</v>
      </c>
      <c r="D34" s="1">
        <v>2024</v>
      </c>
      <c r="E34" s="1" t="s">
        <v>75</v>
      </c>
      <c r="F34" s="1" t="s">
        <v>76</v>
      </c>
      <c r="G34" s="2" t="str">
        <f t="shared" si="1"/>
        <v>55.61086</v>
      </c>
      <c r="H34" s="2" t="str">
        <f t="shared" ref="H34:H65" si="3">MID(E34,3,8)</f>
        <v>48.92211</v>
      </c>
      <c r="I34" s="1">
        <v>2</v>
      </c>
      <c r="J34" s="5">
        <v>18.8</v>
      </c>
      <c r="K34" s="6">
        <v>7.06</v>
      </c>
      <c r="L34" s="1">
        <v>32</v>
      </c>
      <c r="M34" s="1">
        <v>16</v>
      </c>
      <c r="N34" s="1">
        <v>28</v>
      </c>
      <c r="O34">
        <v>4.2457634553750001</v>
      </c>
      <c r="P34">
        <v>0.16880035509999997</v>
      </c>
      <c r="Q34">
        <f t="shared" si="2"/>
        <v>16.880035509999995</v>
      </c>
    </row>
    <row r="35" spans="1:17" ht="15.75" customHeight="1" x14ac:dyDescent="0.15">
      <c r="A35" s="27" t="s">
        <v>74</v>
      </c>
      <c r="B35" s="2" t="s">
        <v>228</v>
      </c>
      <c r="C35" s="17">
        <v>45461</v>
      </c>
      <c r="D35" s="1">
        <v>2024</v>
      </c>
      <c r="E35" s="1" t="s">
        <v>75</v>
      </c>
      <c r="F35" s="1" t="s">
        <v>76</v>
      </c>
      <c r="G35" s="2" t="str">
        <f t="shared" si="1"/>
        <v>55.61086</v>
      </c>
      <c r="H35" s="2" t="str">
        <f t="shared" si="3"/>
        <v>48.92211</v>
      </c>
      <c r="I35" s="1">
        <v>33</v>
      </c>
      <c r="J35" s="5">
        <v>18.8</v>
      </c>
      <c r="K35" s="6">
        <v>6.97</v>
      </c>
      <c r="L35" s="1">
        <v>33</v>
      </c>
      <c r="M35" s="1">
        <v>16</v>
      </c>
      <c r="O35">
        <v>4.5122989231428567</v>
      </c>
      <c r="P35">
        <v>0.16291948348749999</v>
      </c>
      <c r="Q35">
        <f t="shared" si="2"/>
        <v>16.291948348749997</v>
      </c>
    </row>
    <row r="36" spans="1:17" ht="15.75" customHeight="1" x14ac:dyDescent="0.15">
      <c r="A36" s="28" t="s">
        <v>105</v>
      </c>
      <c r="B36" s="2" t="s">
        <v>228</v>
      </c>
      <c r="C36" s="18">
        <v>45471</v>
      </c>
      <c r="D36" s="2">
        <v>2024</v>
      </c>
      <c r="E36" s="2" t="s">
        <v>106</v>
      </c>
      <c r="F36" s="2" t="s">
        <v>107</v>
      </c>
      <c r="G36" s="2" t="str">
        <f t="shared" si="1"/>
        <v>55.63019</v>
      </c>
      <c r="H36" s="2" t="str">
        <f t="shared" si="3"/>
        <v>48.70595</v>
      </c>
      <c r="I36" s="2">
        <v>1</v>
      </c>
      <c r="J36" s="3">
        <v>18.600000000000001</v>
      </c>
      <c r="K36" s="4">
        <v>7.26</v>
      </c>
      <c r="L36" s="2">
        <v>24</v>
      </c>
      <c r="M36" s="2">
        <v>12</v>
      </c>
      <c r="N36" s="2">
        <v>24</v>
      </c>
      <c r="O36">
        <v>4.5122989231428567</v>
      </c>
      <c r="P36">
        <v>0.16291948348749999</v>
      </c>
      <c r="Q36">
        <f t="shared" si="2"/>
        <v>16.291948348749997</v>
      </c>
    </row>
    <row r="37" spans="1:17" ht="15.75" customHeight="1" x14ac:dyDescent="0.15">
      <c r="A37" s="28" t="s">
        <v>105</v>
      </c>
      <c r="B37" s="2" t="s">
        <v>228</v>
      </c>
      <c r="C37" s="18">
        <v>45471</v>
      </c>
      <c r="D37" s="2">
        <v>2024</v>
      </c>
      <c r="E37" s="2" t="s">
        <v>106</v>
      </c>
      <c r="F37" s="2" t="s">
        <v>107</v>
      </c>
      <c r="G37" s="2" t="str">
        <f t="shared" si="1"/>
        <v>55.63019</v>
      </c>
      <c r="H37" s="2" t="str">
        <f t="shared" si="3"/>
        <v>48.70595</v>
      </c>
      <c r="I37" s="2">
        <v>2</v>
      </c>
      <c r="J37" s="3">
        <v>18.600000000000001</v>
      </c>
      <c r="K37" s="4">
        <v>7.25</v>
      </c>
      <c r="L37" s="2">
        <v>24</v>
      </c>
      <c r="M37" s="2">
        <v>12</v>
      </c>
      <c r="N37" s="2">
        <v>28</v>
      </c>
      <c r="O37">
        <v>4.5122989231428567</v>
      </c>
      <c r="P37">
        <v>0.16291948348749999</v>
      </c>
      <c r="Q37">
        <f t="shared" si="2"/>
        <v>16.291948348749997</v>
      </c>
    </row>
    <row r="38" spans="1:17" ht="15.75" customHeight="1" x14ac:dyDescent="0.15">
      <c r="A38" s="28" t="s">
        <v>105</v>
      </c>
      <c r="B38" s="2" t="s">
        <v>228</v>
      </c>
      <c r="C38" s="18">
        <v>45471</v>
      </c>
      <c r="D38" s="2">
        <v>2024</v>
      </c>
      <c r="E38" s="2" t="s">
        <v>106</v>
      </c>
      <c r="F38" s="2" t="s">
        <v>107</v>
      </c>
      <c r="G38" s="2" t="str">
        <f t="shared" si="1"/>
        <v>55.63019</v>
      </c>
      <c r="H38" s="2" t="str">
        <f t="shared" si="3"/>
        <v>48.70595</v>
      </c>
      <c r="I38" s="2">
        <v>3</v>
      </c>
      <c r="J38" s="3">
        <v>18.600000000000001</v>
      </c>
      <c r="K38" s="4">
        <v>7.24</v>
      </c>
      <c r="L38" s="2">
        <v>24</v>
      </c>
      <c r="M38" s="2">
        <v>12</v>
      </c>
      <c r="N38" s="2">
        <v>24</v>
      </c>
      <c r="O38">
        <v>4.9599606761250001</v>
      </c>
      <c r="P38">
        <v>0.14547483417500001</v>
      </c>
      <c r="Q38">
        <f t="shared" si="2"/>
        <v>14.547483417500001</v>
      </c>
    </row>
    <row r="39" spans="1:17" ht="15.75" customHeight="1" x14ac:dyDescent="0.15">
      <c r="A39" s="28" t="s">
        <v>11</v>
      </c>
      <c r="B39" s="2" t="s">
        <v>228</v>
      </c>
      <c r="C39" s="18">
        <v>45446</v>
      </c>
      <c r="D39" s="2">
        <v>2024</v>
      </c>
      <c r="E39" s="2" t="s">
        <v>12</v>
      </c>
      <c r="F39" s="2" t="s">
        <v>13</v>
      </c>
      <c r="G39" s="2" t="str">
        <f t="shared" si="1"/>
        <v>55.64824</v>
      </c>
      <c r="H39" s="2" t="str">
        <f t="shared" si="3"/>
        <v>48.91798</v>
      </c>
      <c r="I39" s="2">
        <v>1</v>
      </c>
      <c r="J39" s="3">
        <v>13.3</v>
      </c>
      <c r="K39" s="4">
        <v>7.01</v>
      </c>
      <c r="L39" s="2">
        <v>31</v>
      </c>
      <c r="M39" s="2">
        <v>15</v>
      </c>
      <c r="N39" s="2">
        <v>40</v>
      </c>
      <c r="O39">
        <v>4.9599606761250001</v>
      </c>
      <c r="P39">
        <v>0.14547483417500001</v>
      </c>
      <c r="Q39">
        <f t="shared" si="2"/>
        <v>14.547483417500001</v>
      </c>
    </row>
    <row r="40" spans="1:17" ht="15.75" customHeight="1" x14ac:dyDescent="0.15">
      <c r="A40" s="28" t="s">
        <v>11</v>
      </c>
      <c r="B40" s="2" t="s">
        <v>228</v>
      </c>
      <c r="C40" s="18">
        <v>45446</v>
      </c>
      <c r="D40" s="2">
        <v>2024</v>
      </c>
      <c r="E40" s="2" t="s">
        <v>12</v>
      </c>
      <c r="F40" s="2" t="s">
        <v>13</v>
      </c>
      <c r="G40" s="2" t="str">
        <f t="shared" si="1"/>
        <v>55.64824</v>
      </c>
      <c r="H40" s="2" t="str">
        <f t="shared" si="3"/>
        <v>48.91798</v>
      </c>
      <c r="I40" s="2">
        <v>2</v>
      </c>
      <c r="J40" s="3">
        <v>13.3</v>
      </c>
      <c r="K40" s="4">
        <v>7.03</v>
      </c>
      <c r="L40" s="2">
        <v>31</v>
      </c>
      <c r="M40" s="2">
        <v>16</v>
      </c>
      <c r="N40" s="2">
        <v>20</v>
      </c>
      <c r="O40">
        <v>4.9599606761250001</v>
      </c>
      <c r="P40">
        <v>0.14547483417500001</v>
      </c>
      <c r="Q40">
        <f t="shared" si="2"/>
        <v>14.547483417500001</v>
      </c>
    </row>
    <row r="41" spans="1:17" ht="15.75" customHeight="1" x14ac:dyDescent="0.15">
      <c r="A41" s="28" t="s">
        <v>11</v>
      </c>
      <c r="B41" s="2" t="s">
        <v>228</v>
      </c>
      <c r="C41" s="18">
        <v>45446</v>
      </c>
      <c r="D41" s="2">
        <v>2024</v>
      </c>
      <c r="E41" s="2" t="s">
        <v>12</v>
      </c>
      <c r="F41" s="2" t="s">
        <v>13</v>
      </c>
      <c r="G41" s="2" t="str">
        <f t="shared" si="1"/>
        <v>55.64824</v>
      </c>
      <c r="H41" s="2" t="str">
        <f t="shared" si="3"/>
        <v>48.91798</v>
      </c>
      <c r="I41" s="2">
        <v>3</v>
      </c>
      <c r="J41" s="3">
        <v>13.3</v>
      </c>
      <c r="K41" s="4">
        <v>7.03</v>
      </c>
      <c r="L41" s="2">
        <v>29</v>
      </c>
      <c r="M41" s="2">
        <v>15</v>
      </c>
      <c r="N41" s="2">
        <v>24</v>
      </c>
      <c r="O41">
        <v>4.1294981652857148</v>
      </c>
      <c r="P41">
        <v>0.12386496317142857</v>
      </c>
      <c r="Q41">
        <f t="shared" si="2"/>
        <v>12.386496317142857</v>
      </c>
    </row>
    <row r="42" spans="1:17" ht="15.75" customHeight="1" x14ac:dyDescent="0.15">
      <c r="A42" s="27" t="s">
        <v>126</v>
      </c>
      <c r="B42" s="2" t="s">
        <v>228</v>
      </c>
      <c r="C42" s="19">
        <v>45824</v>
      </c>
      <c r="D42" s="1">
        <v>2025</v>
      </c>
      <c r="E42" s="1" t="s">
        <v>255</v>
      </c>
      <c r="F42" s="1" t="s">
        <v>233</v>
      </c>
      <c r="G42" s="2" t="str">
        <f t="shared" si="1"/>
        <v>55.64848</v>
      </c>
      <c r="H42" s="2" t="str">
        <f t="shared" si="3"/>
        <v>48.91701</v>
      </c>
      <c r="I42" s="8">
        <v>2</v>
      </c>
      <c r="J42" s="9">
        <v>15.4</v>
      </c>
      <c r="K42" s="10">
        <v>6.8</v>
      </c>
      <c r="L42" s="8">
        <v>32</v>
      </c>
      <c r="M42" s="8">
        <v>16</v>
      </c>
      <c r="N42" s="8">
        <v>24</v>
      </c>
      <c r="O42">
        <v>4.1294981652857148</v>
      </c>
      <c r="P42">
        <v>0.12386496317142857</v>
      </c>
      <c r="Q42">
        <f t="shared" si="2"/>
        <v>12.386496317142857</v>
      </c>
    </row>
    <row r="43" spans="1:17" ht="15.75" customHeight="1" x14ac:dyDescent="0.15">
      <c r="A43" s="27" t="s">
        <v>126</v>
      </c>
      <c r="B43" s="2" t="s">
        <v>228</v>
      </c>
      <c r="C43" s="19">
        <v>45824</v>
      </c>
      <c r="D43" s="1">
        <v>2025</v>
      </c>
      <c r="E43" s="1" t="s">
        <v>255</v>
      </c>
      <c r="F43" s="1" t="s">
        <v>233</v>
      </c>
      <c r="G43" s="2" t="str">
        <f t="shared" si="1"/>
        <v>55.64848</v>
      </c>
      <c r="H43" s="2" t="str">
        <f t="shared" si="3"/>
        <v>48.91701</v>
      </c>
      <c r="I43" s="8">
        <v>3</v>
      </c>
      <c r="J43" s="9">
        <v>15.3</v>
      </c>
      <c r="K43" s="10">
        <v>6.8</v>
      </c>
      <c r="L43" s="8">
        <v>30</v>
      </c>
      <c r="M43" s="8">
        <v>15</v>
      </c>
      <c r="N43" s="8">
        <v>20</v>
      </c>
      <c r="O43">
        <v>4.1294981652857148</v>
      </c>
      <c r="P43">
        <v>0.12386496317142857</v>
      </c>
      <c r="Q43">
        <f t="shared" si="2"/>
        <v>12.386496317142857</v>
      </c>
    </row>
    <row r="44" spans="1:17" ht="15.75" customHeight="1" x14ac:dyDescent="0.15">
      <c r="A44" s="27" t="s">
        <v>126</v>
      </c>
      <c r="B44" s="2" t="s">
        <v>228</v>
      </c>
      <c r="C44" s="19">
        <v>45824</v>
      </c>
      <c r="D44" s="1">
        <v>2025</v>
      </c>
      <c r="E44" s="1" t="s">
        <v>255</v>
      </c>
      <c r="F44" s="1" t="s">
        <v>233</v>
      </c>
      <c r="G44" s="2" t="str">
        <f t="shared" si="1"/>
        <v>55.64848</v>
      </c>
      <c r="H44" s="2" t="str">
        <f t="shared" si="3"/>
        <v>48.91701</v>
      </c>
      <c r="I44" s="8">
        <v>4</v>
      </c>
      <c r="J44" s="9">
        <v>15.3</v>
      </c>
      <c r="K44" s="10">
        <v>6.9</v>
      </c>
      <c r="L44" s="8">
        <v>30</v>
      </c>
      <c r="M44" s="8">
        <v>13</v>
      </c>
      <c r="N44" s="8">
        <v>20</v>
      </c>
      <c r="O44">
        <v>5.2374513994285712</v>
      </c>
      <c r="P44">
        <v>0.14393686152500001</v>
      </c>
      <c r="Q44">
        <f t="shared" si="2"/>
        <v>14.393686152500001</v>
      </c>
    </row>
    <row r="45" spans="1:17" ht="15.75" customHeight="1" x14ac:dyDescent="0.15">
      <c r="A45" s="27" t="s">
        <v>79</v>
      </c>
      <c r="B45" s="2" t="s">
        <v>228</v>
      </c>
      <c r="C45" s="17">
        <v>45463</v>
      </c>
      <c r="D45" s="1">
        <v>2024</v>
      </c>
      <c r="E45" s="1" t="s">
        <v>80</v>
      </c>
      <c r="F45" s="1" t="s">
        <v>81</v>
      </c>
      <c r="G45" s="2" t="str">
        <f t="shared" si="1"/>
        <v>55.73506</v>
      </c>
      <c r="H45" s="2" t="str">
        <f t="shared" si="3"/>
        <v>48.63305</v>
      </c>
      <c r="I45" s="1">
        <v>1</v>
      </c>
      <c r="J45" s="5">
        <v>27.3</v>
      </c>
      <c r="K45" s="6">
        <v>5.5</v>
      </c>
      <c r="L45" s="1">
        <v>15</v>
      </c>
      <c r="M45" s="1">
        <v>7</v>
      </c>
      <c r="N45" s="1">
        <v>22</v>
      </c>
      <c r="O45">
        <v>5.2374513994285712</v>
      </c>
      <c r="P45">
        <v>0.14393686152500001</v>
      </c>
      <c r="Q45">
        <f t="shared" si="2"/>
        <v>14.393686152500001</v>
      </c>
    </row>
    <row r="46" spans="1:17" ht="15.75" customHeight="1" x14ac:dyDescent="0.15">
      <c r="A46" s="27" t="s">
        <v>79</v>
      </c>
      <c r="B46" s="2" t="s">
        <v>228</v>
      </c>
      <c r="C46" s="17">
        <v>45463</v>
      </c>
      <c r="D46" s="1">
        <v>2024</v>
      </c>
      <c r="E46" s="1" t="s">
        <v>80</v>
      </c>
      <c r="F46" s="1" t="s">
        <v>81</v>
      </c>
      <c r="G46" s="2" t="str">
        <f t="shared" si="1"/>
        <v>55.73506</v>
      </c>
      <c r="H46" s="2" t="str">
        <f t="shared" si="3"/>
        <v>48.63305</v>
      </c>
      <c r="I46" s="1">
        <v>2</v>
      </c>
      <c r="J46" s="5">
        <v>27</v>
      </c>
      <c r="K46" s="6">
        <v>5.53</v>
      </c>
      <c r="L46" s="1">
        <v>14</v>
      </c>
      <c r="M46" s="1">
        <v>7</v>
      </c>
      <c r="N46" s="1">
        <v>26</v>
      </c>
      <c r="O46">
        <v>5.2374513994285712</v>
      </c>
      <c r="P46">
        <v>0.14393686152500001</v>
      </c>
      <c r="Q46">
        <f t="shared" si="2"/>
        <v>14.393686152500001</v>
      </c>
    </row>
    <row r="47" spans="1:17" ht="15.75" customHeight="1" x14ac:dyDescent="0.15">
      <c r="A47" s="27" t="s">
        <v>79</v>
      </c>
      <c r="B47" s="2" t="s">
        <v>228</v>
      </c>
      <c r="C47" s="17">
        <v>45463</v>
      </c>
      <c r="D47" s="1">
        <v>2024</v>
      </c>
      <c r="E47" s="1" t="s">
        <v>80</v>
      </c>
      <c r="F47" s="1" t="s">
        <v>81</v>
      </c>
      <c r="G47" s="2" t="str">
        <f t="shared" si="1"/>
        <v>55.73506</v>
      </c>
      <c r="H47" s="2" t="str">
        <f t="shared" si="3"/>
        <v>48.63305</v>
      </c>
      <c r="I47" s="1">
        <v>3</v>
      </c>
      <c r="J47" s="5">
        <v>27</v>
      </c>
      <c r="K47" s="6">
        <v>5.54</v>
      </c>
      <c r="L47" s="1">
        <v>13</v>
      </c>
      <c r="M47" s="1">
        <v>7</v>
      </c>
      <c r="N47" s="1">
        <v>24</v>
      </c>
      <c r="O47">
        <v>4.8647254753749998</v>
      </c>
      <c r="P47">
        <v>0.16583524921249998</v>
      </c>
      <c r="Q47">
        <f t="shared" si="2"/>
        <v>16.58352492125</v>
      </c>
    </row>
    <row r="48" spans="1:17" ht="15.75" customHeight="1" x14ac:dyDescent="0.15">
      <c r="A48" s="28" t="s">
        <v>111</v>
      </c>
      <c r="B48" s="2" t="s">
        <v>228</v>
      </c>
      <c r="C48" s="18">
        <v>45473</v>
      </c>
      <c r="D48" s="2">
        <v>2024</v>
      </c>
      <c r="E48" s="2" t="s">
        <v>112</v>
      </c>
      <c r="F48" s="2" t="s">
        <v>113</v>
      </c>
      <c r="G48" s="2" t="str">
        <f t="shared" si="1"/>
        <v>55.75333</v>
      </c>
      <c r="H48" s="2" t="str">
        <f t="shared" si="3"/>
        <v>48.81558</v>
      </c>
      <c r="I48" s="2">
        <v>1</v>
      </c>
      <c r="J48" s="3">
        <v>14.3</v>
      </c>
      <c r="K48" s="4">
        <v>7.33</v>
      </c>
      <c r="L48" s="2">
        <v>26</v>
      </c>
      <c r="M48" s="2">
        <v>13</v>
      </c>
      <c r="N48" s="2">
        <v>20</v>
      </c>
      <c r="O48">
        <v>4.8647254753749998</v>
      </c>
      <c r="P48">
        <v>0.16583524921249998</v>
      </c>
      <c r="Q48">
        <f t="shared" si="2"/>
        <v>16.58352492125</v>
      </c>
    </row>
    <row r="49" spans="1:17" ht="15.75" customHeight="1" x14ac:dyDescent="0.15">
      <c r="A49" s="28" t="s">
        <v>111</v>
      </c>
      <c r="B49" s="2" t="s">
        <v>228</v>
      </c>
      <c r="C49" s="18">
        <v>45473</v>
      </c>
      <c r="D49" s="2">
        <v>2024</v>
      </c>
      <c r="E49" s="2" t="s">
        <v>112</v>
      </c>
      <c r="F49" s="2" t="s">
        <v>113</v>
      </c>
      <c r="G49" s="2" t="str">
        <f t="shared" si="1"/>
        <v>55.75333</v>
      </c>
      <c r="H49" s="2" t="str">
        <f t="shared" si="3"/>
        <v>48.81558</v>
      </c>
      <c r="I49" s="2">
        <v>2</v>
      </c>
      <c r="J49" s="3">
        <v>14.3</v>
      </c>
      <c r="K49" s="4">
        <v>7.32</v>
      </c>
      <c r="L49" s="2">
        <v>25</v>
      </c>
      <c r="M49" s="2">
        <v>12</v>
      </c>
      <c r="N49" s="2">
        <v>20</v>
      </c>
      <c r="O49">
        <v>4.8647254753749998</v>
      </c>
      <c r="P49">
        <v>0.16583524921249998</v>
      </c>
      <c r="Q49">
        <f t="shared" si="2"/>
        <v>16.58352492125</v>
      </c>
    </row>
    <row r="50" spans="1:17" ht="15.75" customHeight="1" x14ac:dyDescent="0.15">
      <c r="A50" s="28" t="s">
        <v>111</v>
      </c>
      <c r="B50" s="2" t="s">
        <v>228</v>
      </c>
      <c r="C50" s="18">
        <v>45473</v>
      </c>
      <c r="D50" s="2">
        <v>2024</v>
      </c>
      <c r="E50" s="2" t="s">
        <v>112</v>
      </c>
      <c r="F50" s="2" t="s">
        <v>113</v>
      </c>
      <c r="G50" s="2" t="str">
        <f t="shared" si="1"/>
        <v>55.75333</v>
      </c>
      <c r="H50" s="2" t="str">
        <f t="shared" si="3"/>
        <v>48.81558</v>
      </c>
      <c r="I50" s="2">
        <v>3</v>
      </c>
      <c r="J50" s="3">
        <v>14.3</v>
      </c>
      <c r="K50" s="4">
        <v>7.29</v>
      </c>
      <c r="L50" s="2">
        <v>24</v>
      </c>
      <c r="M50" s="2">
        <v>12</v>
      </c>
      <c r="N50" s="7"/>
      <c r="O50">
        <v>11.762771775000001</v>
      </c>
      <c r="P50">
        <v>0.36575954757142853</v>
      </c>
      <c r="Q50">
        <f t="shared" si="2"/>
        <v>36.575954757142853</v>
      </c>
    </row>
    <row r="51" spans="1:17" ht="15.75" customHeight="1" x14ac:dyDescent="0.15">
      <c r="A51" s="27" t="s">
        <v>50</v>
      </c>
      <c r="B51" s="2" t="s">
        <v>228</v>
      </c>
      <c r="C51" s="17">
        <v>45455</v>
      </c>
      <c r="D51" s="1">
        <v>2024</v>
      </c>
      <c r="E51" s="1" t="s">
        <v>51</v>
      </c>
      <c r="F51" s="1" t="s">
        <v>52</v>
      </c>
      <c r="G51" s="2" t="str">
        <f t="shared" si="1"/>
        <v>55.78043</v>
      </c>
      <c r="H51" s="2" t="str">
        <f t="shared" si="3"/>
        <v>48.85054</v>
      </c>
      <c r="I51" s="1">
        <v>1</v>
      </c>
      <c r="J51" s="5">
        <v>16.3</v>
      </c>
      <c r="K51" s="6">
        <v>7.1</v>
      </c>
      <c r="L51" s="1">
        <v>27</v>
      </c>
      <c r="M51" s="1">
        <v>14</v>
      </c>
      <c r="N51" s="1">
        <v>20</v>
      </c>
      <c r="O51">
        <v>11.762771775000001</v>
      </c>
      <c r="P51">
        <v>0.36575954757142853</v>
      </c>
      <c r="Q51">
        <f t="shared" si="2"/>
        <v>36.575954757142853</v>
      </c>
    </row>
    <row r="52" spans="1:17" ht="15.75" customHeight="1" x14ac:dyDescent="0.15">
      <c r="A52" s="27" t="s">
        <v>50</v>
      </c>
      <c r="B52" s="2" t="s">
        <v>228</v>
      </c>
      <c r="C52" s="17">
        <v>45455</v>
      </c>
      <c r="D52" s="1">
        <v>2024</v>
      </c>
      <c r="E52" s="1" t="s">
        <v>51</v>
      </c>
      <c r="F52" s="1" t="s">
        <v>52</v>
      </c>
      <c r="G52" s="2" t="str">
        <f t="shared" si="1"/>
        <v>55.78043</v>
      </c>
      <c r="H52" s="2" t="str">
        <f t="shared" si="3"/>
        <v>48.85054</v>
      </c>
      <c r="I52" s="1">
        <v>2</v>
      </c>
      <c r="J52" s="5">
        <v>16.3</v>
      </c>
      <c r="K52" s="6">
        <v>7.12</v>
      </c>
      <c r="L52" s="1">
        <v>28</v>
      </c>
      <c r="M52" s="1">
        <v>14</v>
      </c>
      <c r="N52" s="1">
        <v>24</v>
      </c>
      <c r="O52">
        <v>11.762771775000001</v>
      </c>
      <c r="P52">
        <v>0.36575954757142853</v>
      </c>
      <c r="Q52">
        <f t="shared" si="2"/>
        <v>36.575954757142853</v>
      </c>
    </row>
    <row r="53" spans="1:17" ht="15.75" customHeight="1" x14ac:dyDescent="0.15">
      <c r="A53" s="27" t="s">
        <v>50</v>
      </c>
      <c r="B53" s="2" t="s">
        <v>228</v>
      </c>
      <c r="C53" s="17">
        <v>45455</v>
      </c>
      <c r="D53" s="1">
        <v>2024</v>
      </c>
      <c r="E53" s="1" t="s">
        <v>51</v>
      </c>
      <c r="F53" s="1" t="s">
        <v>52</v>
      </c>
      <c r="G53" s="2" t="str">
        <f t="shared" si="1"/>
        <v>55.78043</v>
      </c>
      <c r="H53" s="2" t="str">
        <f t="shared" si="3"/>
        <v>48.85054</v>
      </c>
      <c r="I53" s="1">
        <v>3</v>
      </c>
      <c r="J53" s="5">
        <v>16.2</v>
      </c>
      <c r="K53" s="6">
        <v>7.11</v>
      </c>
      <c r="L53" s="1">
        <v>28</v>
      </c>
      <c r="M53" s="1">
        <v>14</v>
      </c>
      <c r="N53" s="1">
        <v>16</v>
      </c>
      <c r="O53">
        <v>4.1336676238571428</v>
      </c>
      <c r="P53">
        <v>0.1225166661</v>
      </c>
      <c r="Q53">
        <f t="shared" si="2"/>
        <v>12.251666610000001</v>
      </c>
    </row>
    <row r="54" spans="1:17" ht="15.75" customHeight="1" x14ac:dyDescent="0.15">
      <c r="A54" s="27" t="s">
        <v>225</v>
      </c>
      <c r="B54" s="2" t="s">
        <v>229</v>
      </c>
      <c r="C54" s="21">
        <v>45551</v>
      </c>
      <c r="D54" s="1">
        <v>2024</v>
      </c>
      <c r="E54" s="26" t="s">
        <v>252</v>
      </c>
      <c r="F54" s="26" t="s">
        <v>252</v>
      </c>
      <c r="G54" s="2" t="str">
        <f t="shared" si="1"/>
        <v>55.79181</v>
      </c>
      <c r="H54" s="2" t="str">
        <f t="shared" si="3"/>
        <v xml:space="preserve">48.9184 </v>
      </c>
      <c r="I54" s="1"/>
      <c r="J54" s="1"/>
      <c r="K54" s="1">
        <v>7.0325000000000006</v>
      </c>
      <c r="L54" s="1">
        <v>34</v>
      </c>
      <c r="M54" s="1"/>
      <c r="N54" s="1"/>
      <c r="O54">
        <v>4.1336676238571428</v>
      </c>
      <c r="P54">
        <v>0.1225166661</v>
      </c>
      <c r="Q54">
        <f t="shared" si="2"/>
        <v>12.251666610000001</v>
      </c>
    </row>
    <row r="55" spans="1:17" ht="15.75" customHeight="1" x14ac:dyDescent="0.15">
      <c r="A55" s="28" t="s">
        <v>123</v>
      </c>
      <c r="B55" s="2" t="s">
        <v>228</v>
      </c>
      <c r="C55" s="18">
        <v>45481</v>
      </c>
      <c r="D55" s="2">
        <v>2024</v>
      </c>
      <c r="E55" s="2" t="s">
        <v>124</v>
      </c>
      <c r="F55" s="2" t="s">
        <v>125</v>
      </c>
      <c r="G55" s="2" t="str">
        <f t="shared" si="1"/>
        <v>55.79738</v>
      </c>
      <c r="H55" s="2" t="str">
        <f t="shared" si="3"/>
        <v>48.91359</v>
      </c>
      <c r="I55" s="2">
        <v>1</v>
      </c>
      <c r="J55" s="3">
        <v>29.1</v>
      </c>
      <c r="K55" s="4">
        <v>7</v>
      </c>
      <c r="L55" s="2">
        <v>29</v>
      </c>
      <c r="M55" s="2">
        <v>14</v>
      </c>
      <c r="N55" s="2">
        <v>30</v>
      </c>
      <c r="O55">
        <v>4.1336676238571428</v>
      </c>
      <c r="P55">
        <v>0.1225166661</v>
      </c>
      <c r="Q55">
        <f t="shared" si="2"/>
        <v>12.251666610000001</v>
      </c>
    </row>
    <row r="56" spans="1:17" ht="15.75" customHeight="1" x14ac:dyDescent="0.15">
      <c r="A56" s="28" t="s">
        <v>123</v>
      </c>
      <c r="B56" s="2" t="s">
        <v>228</v>
      </c>
      <c r="C56" s="18">
        <v>45481</v>
      </c>
      <c r="D56" s="2">
        <v>2024</v>
      </c>
      <c r="E56" s="2" t="s">
        <v>124</v>
      </c>
      <c r="F56" s="2" t="s">
        <v>125</v>
      </c>
      <c r="G56" s="2" t="str">
        <f t="shared" si="1"/>
        <v>55.79738</v>
      </c>
      <c r="H56" s="2" t="str">
        <f t="shared" si="3"/>
        <v>48.91359</v>
      </c>
      <c r="I56" s="2">
        <v>2</v>
      </c>
      <c r="J56" s="3">
        <v>28.7</v>
      </c>
      <c r="K56" s="4">
        <v>7.02</v>
      </c>
      <c r="L56" s="2">
        <v>29</v>
      </c>
      <c r="M56" s="2">
        <v>14</v>
      </c>
      <c r="N56" s="2">
        <v>18</v>
      </c>
      <c r="O56">
        <v>3.8841878584285712</v>
      </c>
      <c r="P56">
        <v>0.132584011675</v>
      </c>
      <c r="Q56">
        <f t="shared" si="2"/>
        <v>13.258401167500001</v>
      </c>
    </row>
    <row r="57" spans="1:17" ht="15.75" customHeight="1" x14ac:dyDescent="0.15">
      <c r="A57" s="28" t="s">
        <v>123</v>
      </c>
      <c r="B57" s="2" t="s">
        <v>228</v>
      </c>
      <c r="C57" s="18">
        <v>45481</v>
      </c>
      <c r="D57" s="2">
        <v>2024</v>
      </c>
      <c r="E57" s="2" t="s">
        <v>124</v>
      </c>
      <c r="F57" s="2" t="s">
        <v>125</v>
      </c>
      <c r="G57" s="2" t="str">
        <f t="shared" si="1"/>
        <v>55.79738</v>
      </c>
      <c r="H57" s="2" t="str">
        <f t="shared" si="3"/>
        <v>48.91359</v>
      </c>
      <c r="I57" s="2">
        <v>3</v>
      </c>
      <c r="J57" s="3">
        <v>28.7</v>
      </c>
      <c r="K57" s="4">
        <v>7.03</v>
      </c>
      <c r="L57" s="2">
        <v>28</v>
      </c>
      <c r="M57" s="2">
        <v>14</v>
      </c>
      <c r="N57" s="2">
        <v>18</v>
      </c>
      <c r="O57">
        <v>3.8841878584285712</v>
      </c>
      <c r="P57">
        <v>0.132584011675</v>
      </c>
      <c r="Q57">
        <f t="shared" si="2"/>
        <v>13.258401167500001</v>
      </c>
    </row>
    <row r="58" spans="1:17" ht="15.75" customHeight="1" x14ac:dyDescent="0.15">
      <c r="A58" s="27" t="s">
        <v>32</v>
      </c>
      <c r="B58" s="2" t="s">
        <v>228</v>
      </c>
      <c r="C58" s="17">
        <v>45452</v>
      </c>
      <c r="D58" s="1">
        <v>2024</v>
      </c>
      <c r="E58" s="1" t="s">
        <v>33</v>
      </c>
      <c r="F58" s="1" t="s">
        <v>34</v>
      </c>
      <c r="G58" s="2" t="str">
        <f t="shared" si="1"/>
        <v>55.95797</v>
      </c>
      <c r="H58" s="2" t="str">
        <f t="shared" si="3"/>
        <v>48.92785</v>
      </c>
      <c r="I58" s="1">
        <v>1</v>
      </c>
      <c r="J58" s="5">
        <v>14.8</v>
      </c>
      <c r="K58" s="6">
        <v>7.07</v>
      </c>
      <c r="L58" s="1">
        <v>25</v>
      </c>
      <c r="M58" s="1">
        <v>12</v>
      </c>
      <c r="N58" s="1">
        <v>24</v>
      </c>
      <c r="O58">
        <v>3.8841878584285712</v>
      </c>
      <c r="P58">
        <v>0.132584011675</v>
      </c>
      <c r="Q58">
        <f t="shared" si="2"/>
        <v>13.258401167500001</v>
      </c>
    </row>
    <row r="59" spans="1:17" ht="15.75" customHeight="1" x14ac:dyDescent="0.15">
      <c r="A59" s="27" t="s">
        <v>32</v>
      </c>
      <c r="B59" s="2" t="s">
        <v>228</v>
      </c>
      <c r="C59" s="17">
        <v>45452</v>
      </c>
      <c r="D59" s="1">
        <v>2024</v>
      </c>
      <c r="E59" s="1" t="s">
        <v>33</v>
      </c>
      <c r="F59" s="1" t="s">
        <v>34</v>
      </c>
      <c r="G59" s="2" t="str">
        <f t="shared" si="1"/>
        <v>55.95797</v>
      </c>
      <c r="H59" s="2" t="str">
        <f t="shared" si="3"/>
        <v>48.92785</v>
      </c>
      <c r="I59" s="1">
        <v>2</v>
      </c>
      <c r="J59" s="5">
        <v>14.6</v>
      </c>
      <c r="K59" s="6">
        <v>7.06</v>
      </c>
      <c r="L59" s="1">
        <v>24</v>
      </c>
      <c r="M59" s="1">
        <v>12</v>
      </c>
      <c r="N59" s="1">
        <v>23</v>
      </c>
      <c r="O59">
        <v>5.1385218912857136</v>
      </c>
      <c r="P59">
        <v>0.13604512931428572</v>
      </c>
      <c r="Q59">
        <f t="shared" si="2"/>
        <v>13.604512931428573</v>
      </c>
    </row>
    <row r="60" spans="1:17" ht="15.75" customHeight="1" x14ac:dyDescent="0.15">
      <c r="A60" s="27" t="s">
        <v>32</v>
      </c>
      <c r="B60" s="2" t="s">
        <v>228</v>
      </c>
      <c r="C60" s="17">
        <v>45452</v>
      </c>
      <c r="D60" s="1">
        <v>2024</v>
      </c>
      <c r="E60" s="1" t="s">
        <v>33</v>
      </c>
      <c r="F60" s="1" t="s">
        <v>34</v>
      </c>
      <c r="G60" s="2" t="str">
        <f t="shared" si="1"/>
        <v>55.95797</v>
      </c>
      <c r="H60" s="2" t="str">
        <f t="shared" si="3"/>
        <v>48.92785</v>
      </c>
      <c r="I60" s="1">
        <v>3</v>
      </c>
      <c r="J60" s="5">
        <v>14.6</v>
      </c>
      <c r="K60" s="6">
        <v>7.05</v>
      </c>
      <c r="L60" s="1">
        <v>25</v>
      </c>
      <c r="M60" s="1">
        <v>12</v>
      </c>
      <c r="N60" s="1">
        <v>24</v>
      </c>
      <c r="O60">
        <v>5.1385218912857136</v>
      </c>
      <c r="P60">
        <v>0.13604512931428572</v>
      </c>
      <c r="Q60">
        <f t="shared" si="2"/>
        <v>13.604512931428573</v>
      </c>
    </row>
    <row r="61" spans="1:17" ht="15.75" customHeight="1" x14ac:dyDescent="0.15">
      <c r="A61" s="28" t="s">
        <v>53</v>
      </c>
      <c r="B61" s="2" t="s">
        <v>228</v>
      </c>
      <c r="C61" s="18">
        <v>45457</v>
      </c>
      <c r="D61" s="2">
        <v>2024</v>
      </c>
      <c r="E61" s="2" t="s">
        <v>54</v>
      </c>
      <c r="F61" s="2" t="s">
        <v>55</v>
      </c>
      <c r="G61" s="2" t="str">
        <f t="shared" si="1"/>
        <v>55.99052</v>
      </c>
      <c r="H61" s="2" t="str">
        <f t="shared" si="3"/>
        <v>49.07740</v>
      </c>
      <c r="I61" s="2">
        <v>1</v>
      </c>
      <c r="J61" s="3">
        <v>18.100000000000001</v>
      </c>
      <c r="K61" s="4">
        <v>6.62</v>
      </c>
      <c r="L61" s="2">
        <v>17</v>
      </c>
      <c r="M61" s="2">
        <v>9</v>
      </c>
      <c r="N61" s="2">
        <v>18</v>
      </c>
      <c r="O61">
        <v>5.1385218912857136</v>
      </c>
      <c r="P61">
        <v>0.13604512931428572</v>
      </c>
      <c r="Q61">
        <f t="shared" si="2"/>
        <v>13.604512931428573</v>
      </c>
    </row>
    <row r="62" spans="1:17" ht="15.75" customHeight="1" x14ac:dyDescent="0.15">
      <c r="A62" s="28" t="s">
        <v>53</v>
      </c>
      <c r="B62" s="2" t="s">
        <v>228</v>
      </c>
      <c r="C62" s="18">
        <v>45457</v>
      </c>
      <c r="D62" s="2">
        <v>2024</v>
      </c>
      <c r="E62" s="2" t="s">
        <v>54</v>
      </c>
      <c r="F62" s="2" t="s">
        <v>55</v>
      </c>
      <c r="G62" s="2" t="str">
        <f t="shared" si="1"/>
        <v>55.99052</v>
      </c>
      <c r="H62" s="2" t="str">
        <f t="shared" si="3"/>
        <v>49.07740</v>
      </c>
      <c r="I62" s="2">
        <v>2</v>
      </c>
      <c r="J62" s="3">
        <v>18</v>
      </c>
      <c r="K62" s="4">
        <v>6.62</v>
      </c>
      <c r="L62" s="2">
        <v>16</v>
      </c>
      <c r="M62" s="2">
        <v>8</v>
      </c>
      <c r="N62" s="2">
        <v>20</v>
      </c>
      <c r="O62">
        <v>5.7658932225000008</v>
      </c>
      <c r="P62">
        <v>0.20414053802857143</v>
      </c>
      <c r="Q62">
        <f t="shared" si="2"/>
        <v>20.414053802857143</v>
      </c>
    </row>
    <row r="63" spans="1:17" ht="15.75" customHeight="1" x14ac:dyDescent="0.15">
      <c r="A63" s="28" t="s">
        <v>53</v>
      </c>
      <c r="B63" s="2" t="s">
        <v>228</v>
      </c>
      <c r="C63" s="18">
        <v>45457</v>
      </c>
      <c r="D63" s="2">
        <v>2024</v>
      </c>
      <c r="E63" s="2" t="s">
        <v>54</v>
      </c>
      <c r="F63" s="2" t="s">
        <v>55</v>
      </c>
      <c r="G63" s="2" t="str">
        <f t="shared" si="1"/>
        <v>55.99052</v>
      </c>
      <c r="H63" s="2" t="str">
        <f t="shared" si="3"/>
        <v>49.07740</v>
      </c>
      <c r="I63" s="2">
        <v>3</v>
      </c>
      <c r="J63" s="3">
        <v>17.8</v>
      </c>
      <c r="K63" s="4">
        <v>6.6</v>
      </c>
      <c r="L63" s="2">
        <v>17</v>
      </c>
      <c r="M63" s="2">
        <v>8</v>
      </c>
      <c r="N63" s="7"/>
      <c r="O63">
        <v>5.7658932225000008</v>
      </c>
      <c r="P63">
        <v>0.20414053802857143</v>
      </c>
      <c r="Q63">
        <f t="shared" si="2"/>
        <v>20.414053802857143</v>
      </c>
    </row>
    <row r="64" spans="1:17" ht="15.75" customHeight="1" x14ac:dyDescent="0.15">
      <c r="A64" s="28" t="s">
        <v>127</v>
      </c>
      <c r="B64" s="2" t="s">
        <v>228</v>
      </c>
      <c r="C64" s="20">
        <v>45825</v>
      </c>
      <c r="D64" s="2">
        <v>2025</v>
      </c>
      <c r="E64" s="2" t="s">
        <v>256</v>
      </c>
      <c r="F64" s="2" t="s">
        <v>234</v>
      </c>
      <c r="G64" s="2" t="str">
        <f t="shared" si="1"/>
        <v>56.01231</v>
      </c>
      <c r="H64" s="2" t="str">
        <f t="shared" si="3"/>
        <v>48.89357</v>
      </c>
      <c r="I64" s="11">
        <v>1</v>
      </c>
      <c r="J64" s="12">
        <v>15.3</v>
      </c>
      <c r="K64" s="13">
        <v>6.49</v>
      </c>
      <c r="L64" s="11">
        <v>19</v>
      </c>
      <c r="M64" s="11">
        <v>9</v>
      </c>
      <c r="N64" s="11">
        <v>16</v>
      </c>
      <c r="O64">
        <v>5.7658932225000008</v>
      </c>
      <c r="P64">
        <v>0.20414053802857143</v>
      </c>
      <c r="Q64">
        <f t="shared" si="2"/>
        <v>20.414053802857143</v>
      </c>
    </row>
    <row r="65" spans="1:17" ht="15.75" customHeight="1" x14ac:dyDescent="0.15">
      <c r="A65" s="28" t="s">
        <v>127</v>
      </c>
      <c r="B65" s="2" t="s">
        <v>228</v>
      </c>
      <c r="C65" s="20">
        <v>45825</v>
      </c>
      <c r="D65" s="2">
        <v>2025</v>
      </c>
      <c r="E65" s="2" t="s">
        <v>256</v>
      </c>
      <c r="F65" s="2" t="s">
        <v>234</v>
      </c>
      <c r="G65" s="2" t="str">
        <f t="shared" si="1"/>
        <v>56.01231</v>
      </c>
      <c r="H65" s="2" t="str">
        <f t="shared" si="3"/>
        <v>48.89357</v>
      </c>
      <c r="I65" s="11">
        <v>2</v>
      </c>
      <c r="J65" s="12">
        <v>15.3</v>
      </c>
      <c r="K65" s="13">
        <v>6.51</v>
      </c>
      <c r="L65" s="11">
        <v>18</v>
      </c>
      <c r="M65" s="11">
        <v>9</v>
      </c>
      <c r="N65" s="11">
        <v>16</v>
      </c>
      <c r="O65">
        <v>5.6587973808749998</v>
      </c>
      <c r="P65">
        <v>0.17908934365714285</v>
      </c>
      <c r="Q65">
        <f t="shared" si="2"/>
        <v>17.908934365714284</v>
      </c>
    </row>
    <row r="66" spans="1:17" ht="15.75" customHeight="1" x14ac:dyDescent="0.15">
      <c r="A66" s="28" t="s">
        <v>127</v>
      </c>
      <c r="B66" s="2" t="s">
        <v>228</v>
      </c>
      <c r="C66" s="20">
        <v>45825</v>
      </c>
      <c r="D66" s="2">
        <v>2025</v>
      </c>
      <c r="E66" s="2" t="s">
        <v>256</v>
      </c>
      <c r="F66" s="2" t="s">
        <v>234</v>
      </c>
      <c r="G66" s="2" t="str">
        <f t="shared" si="1"/>
        <v>56.01231</v>
      </c>
      <c r="H66" s="2" t="str">
        <f t="shared" ref="H66:H97" si="4">MID(E66,3,8)</f>
        <v>48.89357</v>
      </c>
      <c r="I66" s="11">
        <v>3</v>
      </c>
      <c r="J66" s="12">
        <v>15.3</v>
      </c>
      <c r="K66" s="13">
        <v>6.54</v>
      </c>
      <c r="L66" s="11">
        <v>18</v>
      </c>
      <c r="M66" s="11">
        <v>9</v>
      </c>
      <c r="N66" s="11">
        <v>16</v>
      </c>
      <c r="O66">
        <v>5.6587973808749998</v>
      </c>
      <c r="P66">
        <v>0.17908934365714285</v>
      </c>
      <c r="Q66">
        <f t="shared" si="2"/>
        <v>17.908934365714284</v>
      </c>
    </row>
    <row r="67" spans="1:17" ht="15.75" customHeight="1" x14ac:dyDescent="0.15">
      <c r="A67" s="28" t="s">
        <v>135</v>
      </c>
      <c r="B67" s="2" t="s">
        <v>228</v>
      </c>
      <c r="C67" s="20">
        <v>45836</v>
      </c>
      <c r="D67" s="2">
        <v>2025</v>
      </c>
      <c r="E67" s="2" t="s">
        <v>265</v>
      </c>
      <c r="F67" s="2" t="s">
        <v>242</v>
      </c>
      <c r="G67" s="2" t="str">
        <f t="shared" ref="G67:G130" si="5">RIGHT(E67,8)</f>
        <v>56.01804</v>
      </c>
      <c r="H67" s="2" t="str">
        <f t="shared" si="4"/>
        <v>48.97447</v>
      </c>
      <c r="I67" s="11">
        <v>1</v>
      </c>
      <c r="J67" s="12">
        <v>14.8</v>
      </c>
      <c r="K67" s="13">
        <v>6.95</v>
      </c>
      <c r="L67" s="11">
        <v>19</v>
      </c>
      <c r="M67" s="11">
        <v>9</v>
      </c>
      <c r="N67" s="11">
        <v>32</v>
      </c>
      <c r="O67">
        <v>5.6587973808749998</v>
      </c>
      <c r="P67">
        <v>0.17908934365714285</v>
      </c>
      <c r="Q67">
        <f t="shared" ref="Q67:Q130" si="6">P67*100</f>
        <v>17.908934365714284</v>
      </c>
    </row>
    <row r="68" spans="1:17" ht="15.75" customHeight="1" x14ac:dyDescent="0.15">
      <c r="A68" s="28" t="s">
        <v>135</v>
      </c>
      <c r="B68" s="2" t="s">
        <v>228</v>
      </c>
      <c r="C68" s="20">
        <v>45836</v>
      </c>
      <c r="D68" s="2">
        <v>2025</v>
      </c>
      <c r="E68" s="2" t="s">
        <v>265</v>
      </c>
      <c r="F68" s="2" t="s">
        <v>242</v>
      </c>
      <c r="G68" s="2" t="str">
        <f t="shared" si="5"/>
        <v>56.01804</v>
      </c>
      <c r="H68" s="2" t="str">
        <f t="shared" si="4"/>
        <v>48.97447</v>
      </c>
      <c r="I68" s="11">
        <v>2</v>
      </c>
      <c r="J68" s="12">
        <v>14.8</v>
      </c>
      <c r="K68" s="13">
        <v>6.94</v>
      </c>
      <c r="L68" s="11">
        <v>19</v>
      </c>
      <c r="M68" s="11">
        <v>9</v>
      </c>
      <c r="N68" s="11">
        <v>28</v>
      </c>
      <c r="O68">
        <v>6.0232914081428577</v>
      </c>
      <c r="P68">
        <v>0.22260596231428573</v>
      </c>
      <c r="Q68">
        <f t="shared" si="6"/>
        <v>22.260596231428572</v>
      </c>
    </row>
    <row r="69" spans="1:17" ht="15.75" customHeight="1" x14ac:dyDescent="0.15">
      <c r="A69" s="28" t="s">
        <v>135</v>
      </c>
      <c r="B69" s="2" t="s">
        <v>228</v>
      </c>
      <c r="C69" s="20">
        <v>45836</v>
      </c>
      <c r="D69" s="2">
        <v>2025</v>
      </c>
      <c r="E69" s="2" t="s">
        <v>265</v>
      </c>
      <c r="F69" s="2" t="s">
        <v>242</v>
      </c>
      <c r="G69" s="2" t="str">
        <f t="shared" si="5"/>
        <v>56.01804</v>
      </c>
      <c r="H69" s="2" t="str">
        <f t="shared" si="4"/>
        <v>48.97447</v>
      </c>
      <c r="I69" s="11">
        <v>3</v>
      </c>
      <c r="J69" s="12">
        <v>14.8</v>
      </c>
      <c r="K69" s="13">
        <v>6.94</v>
      </c>
      <c r="L69" s="11">
        <v>19</v>
      </c>
      <c r="M69" s="11">
        <v>9</v>
      </c>
      <c r="N69" s="11">
        <v>28</v>
      </c>
      <c r="O69">
        <v>6.0232914081428577</v>
      </c>
      <c r="P69">
        <v>0.22260596231428573</v>
      </c>
      <c r="Q69">
        <f t="shared" si="6"/>
        <v>22.260596231428572</v>
      </c>
    </row>
    <row r="70" spans="1:17" ht="15.75" customHeight="1" x14ac:dyDescent="0.15">
      <c r="A70" s="27" t="s">
        <v>219</v>
      </c>
      <c r="B70" s="2" t="s">
        <v>229</v>
      </c>
      <c r="C70" s="21">
        <v>45550</v>
      </c>
      <c r="D70" s="1">
        <v>2024</v>
      </c>
      <c r="E70" s="26" t="s">
        <v>247</v>
      </c>
      <c r="F70" s="26" t="s">
        <v>247</v>
      </c>
      <c r="G70" s="2" t="str">
        <f t="shared" si="5"/>
        <v>56.03229</v>
      </c>
      <c r="H70" s="2" t="str">
        <f t="shared" si="4"/>
        <v>48.98081</v>
      </c>
      <c r="I70" s="1"/>
      <c r="J70" s="1"/>
      <c r="K70" s="1">
        <v>6.8249999999999993</v>
      </c>
      <c r="L70" s="1">
        <v>22.5</v>
      </c>
      <c r="M70" s="1"/>
      <c r="N70" s="1"/>
      <c r="O70">
        <v>6.0232914081428577</v>
      </c>
      <c r="P70">
        <v>0.22260596231428573</v>
      </c>
      <c r="Q70">
        <f t="shared" si="6"/>
        <v>22.260596231428572</v>
      </c>
    </row>
    <row r="71" spans="1:17" ht="15.75" customHeight="1" x14ac:dyDescent="0.15">
      <c r="A71" s="27" t="s">
        <v>56</v>
      </c>
      <c r="B71" s="2" t="s">
        <v>228</v>
      </c>
      <c r="C71" s="17">
        <v>45457</v>
      </c>
      <c r="D71" s="1">
        <v>2024</v>
      </c>
      <c r="E71" s="1" t="s">
        <v>57</v>
      </c>
      <c r="F71" s="1" t="s">
        <v>58</v>
      </c>
      <c r="G71" s="2" t="str">
        <f t="shared" si="5"/>
        <v>56.04303</v>
      </c>
      <c r="H71" s="2" t="str">
        <f t="shared" si="4"/>
        <v>48.94168</v>
      </c>
      <c r="I71" s="1">
        <v>1</v>
      </c>
      <c r="J71" s="5">
        <v>19.3</v>
      </c>
      <c r="K71" s="6">
        <v>6.77</v>
      </c>
      <c r="L71" s="1">
        <v>19</v>
      </c>
      <c r="M71" s="1">
        <v>9</v>
      </c>
      <c r="N71" s="1">
        <v>24</v>
      </c>
      <c r="O71">
        <v>9.5248869962500002</v>
      </c>
      <c r="P71">
        <v>0.24953892622500001</v>
      </c>
      <c r="Q71">
        <f t="shared" si="6"/>
        <v>24.9538926225</v>
      </c>
    </row>
    <row r="72" spans="1:17" ht="15.75" customHeight="1" x14ac:dyDescent="0.15">
      <c r="A72" s="27" t="s">
        <v>56</v>
      </c>
      <c r="B72" s="2" t="s">
        <v>228</v>
      </c>
      <c r="C72" s="17">
        <v>45457</v>
      </c>
      <c r="D72" s="1">
        <v>2024</v>
      </c>
      <c r="E72" s="1" t="s">
        <v>57</v>
      </c>
      <c r="F72" s="1" t="s">
        <v>58</v>
      </c>
      <c r="G72" s="2" t="str">
        <f t="shared" si="5"/>
        <v>56.04303</v>
      </c>
      <c r="H72" s="2" t="str">
        <f t="shared" si="4"/>
        <v>48.94168</v>
      </c>
      <c r="I72" s="1">
        <v>2</v>
      </c>
      <c r="J72" s="5">
        <v>19.2</v>
      </c>
      <c r="K72" s="6">
        <v>6.76</v>
      </c>
      <c r="L72" s="1">
        <v>19</v>
      </c>
      <c r="M72" s="1">
        <v>10</v>
      </c>
      <c r="N72" s="1">
        <v>21</v>
      </c>
      <c r="O72">
        <v>9.5248869962500002</v>
      </c>
      <c r="P72">
        <v>0.24953892622500001</v>
      </c>
      <c r="Q72">
        <f t="shared" si="6"/>
        <v>24.9538926225</v>
      </c>
    </row>
    <row r="73" spans="1:17" ht="15.75" customHeight="1" x14ac:dyDescent="0.15">
      <c r="A73" s="27" t="s">
        <v>56</v>
      </c>
      <c r="B73" s="2" t="s">
        <v>228</v>
      </c>
      <c r="C73" s="17">
        <v>45457</v>
      </c>
      <c r="D73" s="1">
        <v>2024</v>
      </c>
      <c r="E73" s="1" t="s">
        <v>57</v>
      </c>
      <c r="F73" s="1" t="s">
        <v>58</v>
      </c>
      <c r="G73" s="2" t="str">
        <f t="shared" si="5"/>
        <v>56.04303</v>
      </c>
      <c r="H73" s="2" t="str">
        <f t="shared" si="4"/>
        <v>48.94168</v>
      </c>
      <c r="I73" s="1">
        <v>3</v>
      </c>
      <c r="J73" s="5">
        <v>19.3</v>
      </c>
      <c r="K73" s="6">
        <v>6.76</v>
      </c>
      <c r="L73" s="1">
        <v>19</v>
      </c>
      <c r="M73" s="1">
        <v>9</v>
      </c>
      <c r="O73">
        <v>9.5248869962500002</v>
      </c>
      <c r="P73">
        <v>0.24953892622500001</v>
      </c>
      <c r="Q73">
        <f t="shared" si="6"/>
        <v>24.9538926225</v>
      </c>
    </row>
    <row r="74" spans="1:17" ht="15.75" customHeight="1" x14ac:dyDescent="0.15">
      <c r="A74" s="28" t="s">
        <v>17</v>
      </c>
      <c r="B74" s="2" t="s">
        <v>228</v>
      </c>
      <c r="C74" s="18">
        <v>45448</v>
      </c>
      <c r="D74" s="2">
        <v>2024</v>
      </c>
      <c r="E74" s="2" t="s">
        <v>18</v>
      </c>
      <c r="F74" s="2" t="s">
        <v>19</v>
      </c>
      <c r="G74" s="2" t="str">
        <f t="shared" si="5"/>
        <v>56.10947</v>
      </c>
      <c r="H74" s="2" t="str">
        <f t="shared" si="4"/>
        <v>49.06106</v>
      </c>
      <c r="I74" s="2">
        <v>1</v>
      </c>
      <c r="J74" s="3">
        <v>11.6</v>
      </c>
      <c r="K74" s="4">
        <v>7.1</v>
      </c>
      <c r="L74" s="2">
        <v>24</v>
      </c>
      <c r="M74" s="2">
        <v>12</v>
      </c>
      <c r="N74" s="2">
        <v>20</v>
      </c>
      <c r="O74">
        <v>2.3908022134285716</v>
      </c>
      <c r="P74">
        <v>8.4632308062499995E-2</v>
      </c>
      <c r="Q74">
        <f t="shared" si="6"/>
        <v>8.4632308062499995</v>
      </c>
    </row>
    <row r="75" spans="1:17" ht="15.75" customHeight="1" x14ac:dyDescent="0.15">
      <c r="A75" s="28" t="s">
        <v>17</v>
      </c>
      <c r="B75" s="2" t="s">
        <v>228</v>
      </c>
      <c r="C75" s="18">
        <v>45448</v>
      </c>
      <c r="D75" s="2">
        <v>2024</v>
      </c>
      <c r="E75" s="2" t="s">
        <v>18</v>
      </c>
      <c r="F75" s="2" t="s">
        <v>19</v>
      </c>
      <c r="G75" s="2" t="str">
        <f t="shared" si="5"/>
        <v>56.10947</v>
      </c>
      <c r="H75" s="2" t="str">
        <f t="shared" si="4"/>
        <v>49.06106</v>
      </c>
      <c r="I75" s="2">
        <v>2</v>
      </c>
      <c r="J75" s="3">
        <v>11.6</v>
      </c>
      <c r="K75" s="4">
        <v>7.09</v>
      </c>
      <c r="L75" s="2">
        <v>20</v>
      </c>
      <c r="M75" s="2">
        <v>10</v>
      </c>
      <c r="N75" s="2">
        <v>16</v>
      </c>
      <c r="O75">
        <v>2.3908022134285716</v>
      </c>
      <c r="P75">
        <v>8.4632308062499995E-2</v>
      </c>
      <c r="Q75">
        <f t="shared" si="6"/>
        <v>8.4632308062499995</v>
      </c>
    </row>
    <row r="76" spans="1:17" ht="15.75" customHeight="1" x14ac:dyDescent="0.15">
      <c r="A76" s="28" t="s">
        <v>17</v>
      </c>
      <c r="B76" s="2" t="s">
        <v>228</v>
      </c>
      <c r="C76" s="18">
        <v>45448</v>
      </c>
      <c r="D76" s="2">
        <v>2024</v>
      </c>
      <c r="E76" s="2" t="s">
        <v>18</v>
      </c>
      <c r="F76" s="2" t="s">
        <v>19</v>
      </c>
      <c r="G76" s="2" t="str">
        <f t="shared" si="5"/>
        <v>56.10947</v>
      </c>
      <c r="H76" s="2" t="str">
        <f t="shared" si="4"/>
        <v>49.06106</v>
      </c>
      <c r="I76" s="2">
        <v>3</v>
      </c>
      <c r="J76" s="3">
        <v>11.5</v>
      </c>
      <c r="K76" s="4">
        <v>7.08</v>
      </c>
      <c r="L76" s="2">
        <v>18</v>
      </c>
      <c r="M76" s="2">
        <v>9</v>
      </c>
      <c r="N76" s="2">
        <v>16</v>
      </c>
      <c r="O76">
        <v>2.3908022134285716</v>
      </c>
      <c r="P76">
        <v>8.4632308062499995E-2</v>
      </c>
      <c r="Q76">
        <f t="shared" si="6"/>
        <v>8.4632308062499995</v>
      </c>
    </row>
    <row r="77" spans="1:17" ht="15.75" customHeight="1" x14ac:dyDescent="0.15">
      <c r="A77" s="28" t="s">
        <v>23</v>
      </c>
      <c r="B77" s="2" t="s">
        <v>228</v>
      </c>
      <c r="C77" s="18">
        <v>45451</v>
      </c>
      <c r="D77" s="2">
        <v>2024</v>
      </c>
      <c r="E77" s="2" t="s">
        <v>24</v>
      </c>
      <c r="F77" s="2" t="s">
        <v>25</v>
      </c>
      <c r="G77" s="2" t="str">
        <f t="shared" si="5"/>
        <v>56.18985</v>
      </c>
      <c r="H77" s="2" t="str">
        <f t="shared" si="4"/>
        <v>48.92064</v>
      </c>
      <c r="I77" s="2">
        <v>1</v>
      </c>
      <c r="J77" s="3">
        <v>14.4</v>
      </c>
      <c r="K77" s="4">
        <v>6.99</v>
      </c>
      <c r="L77" s="2">
        <v>23</v>
      </c>
      <c r="M77" s="2">
        <v>12</v>
      </c>
      <c r="N77" s="2">
        <v>28</v>
      </c>
      <c r="O77">
        <v>5.1295829552857137</v>
      </c>
      <c r="P77">
        <v>0.19427262130000003</v>
      </c>
      <c r="Q77">
        <f t="shared" si="6"/>
        <v>19.427262130000003</v>
      </c>
    </row>
    <row r="78" spans="1:17" ht="15.75" customHeight="1" x14ac:dyDescent="0.15">
      <c r="A78" s="28" t="s">
        <v>23</v>
      </c>
      <c r="B78" s="2" t="s">
        <v>228</v>
      </c>
      <c r="C78" s="18">
        <v>45451</v>
      </c>
      <c r="D78" s="2">
        <v>2024</v>
      </c>
      <c r="E78" s="2" t="s">
        <v>24</v>
      </c>
      <c r="F78" s="2" t="s">
        <v>25</v>
      </c>
      <c r="G78" s="2" t="str">
        <f t="shared" si="5"/>
        <v>56.18985</v>
      </c>
      <c r="H78" s="2" t="str">
        <f t="shared" si="4"/>
        <v>48.92064</v>
      </c>
      <c r="I78" s="2">
        <v>2</v>
      </c>
      <c r="J78" s="3">
        <v>14.6</v>
      </c>
      <c r="K78" s="4">
        <v>6.99</v>
      </c>
      <c r="L78" s="2">
        <v>23</v>
      </c>
      <c r="M78" s="2">
        <v>11</v>
      </c>
      <c r="N78" s="2">
        <v>24</v>
      </c>
      <c r="O78">
        <v>5.1295829552857137</v>
      </c>
      <c r="P78">
        <v>0.19427262130000003</v>
      </c>
      <c r="Q78">
        <f t="shared" si="6"/>
        <v>19.427262130000003</v>
      </c>
    </row>
    <row r="79" spans="1:17" ht="15.75" customHeight="1" x14ac:dyDescent="0.15">
      <c r="A79" s="28" t="s">
        <v>23</v>
      </c>
      <c r="B79" s="2" t="s">
        <v>228</v>
      </c>
      <c r="C79" s="18">
        <v>45451</v>
      </c>
      <c r="D79" s="2">
        <v>2024</v>
      </c>
      <c r="E79" s="2" t="s">
        <v>24</v>
      </c>
      <c r="F79" s="2" t="s">
        <v>25</v>
      </c>
      <c r="G79" s="2" t="str">
        <f t="shared" si="5"/>
        <v>56.18985</v>
      </c>
      <c r="H79" s="2" t="str">
        <f t="shared" si="4"/>
        <v>48.92064</v>
      </c>
      <c r="I79" s="2">
        <v>3</v>
      </c>
      <c r="J79" s="3">
        <v>14.5</v>
      </c>
      <c r="K79" s="4">
        <v>6.96</v>
      </c>
      <c r="L79" s="2">
        <v>22</v>
      </c>
      <c r="M79" s="2">
        <v>11</v>
      </c>
      <c r="N79" s="2">
        <v>24</v>
      </c>
      <c r="O79">
        <v>5.1295829552857137</v>
      </c>
      <c r="P79">
        <v>0.19427262130000003</v>
      </c>
      <c r="Q79">
        <f t="shared" si="6"/>
        <v>19.427262130000003</v>
      </c>
    </row>
    <row r="80" spans="1:17" ht="15.75" customHeight="1" x14ac:dyDescent="0.15">
      <c r="A80" s="27" t="s">
        <v>38</v>
      </c>
      <c r="B80" s="2" t="s">
        <v>228</v>
      </c>
      <c r="C80" s="17">
        <v>45453</v>
      </c>
      <c r="D80" s="1">
        <v>2024</v>
      </c>
      <c r="E80" s="1" t="s">
        <v>39</v>
      </c>
      <c r="F80" s="1" t="s">
        <v>40</v>
      </c>
      <c r="G80" s="2" t="str">
        <f t="shared" si="5"/>
        <v>56.19398</v>
      </c>
      <c r="H80" s="2" t="str">
        <f t="shared" si="4"/>
        <v>48.65636</v>
      </c>
      <c r="I80" s="1">
        <v>1</v>
      </c>
      <c r="J80" s="5">
        <v>14.4</v>
      </c>
      <c r="K80" s="6">
        <v>7.19</v>
      </c>
      <c r="L80" s="1">
        <v>19</v>
      </c>
      <c r="M80" s="1">
        <v>10</v>
      </c>
      <c r="N80" s="1">
        <v>21</v>
      </c>
      <c r="O80">
        <v>3.2293146684285712</v>
      </c>
      <c r="P80">
        <v>0.12309832992857142</v>
      </c>
      <c r="Q80">
        <f t="shared" si="6"/>
        <v>12.309832992857142</v>
      </c>
    </row>
    <row r="81" spans="1:17" ht="15.75" customHeight="1" x14ac:dyDescent="0.15">
      <c r="A81" s="27" t="s">
        <v>38</v>
      </c>
      <c r="B81" s="2" t="s">
        <v>228</v>
      </c>
      <c r="C81" s="17">
        <v>45453</v>
      </c>
      <c r="D81" s="1">
        <v>2024</v>
      </c>
      <c r="E81" s="1" t="s">
        <v>39</v>
      </c>
      <c r="F81" s="1" t="s">
        <v>40</v>
      </c>
      <c r="G81" s="2" t="str">
        <f t="shared" si="5"/>
        <v>56.19398</v>
      </c>
      <c r="H81" s="2" t="str">
        <f t="shared" si="4"/>
        <v>48.65636</v>
      </c>
      <c r="I81" s="1">
        <v>2</v>
      </c>
      <c r="J81" s="5">
        <v>14.4</v>
      </c>
      <c r="K81" s="6">
        <v>7.15</v>
      </c>
      <c r="L81" s="1">
        <v>19</v>
      </c>
      <c r="M81" s="1">
        <v>10</v>
      </c>
      <c r="N81" s="1">
        <v>20</v>
      </c>
      <c r="O81">
        <v>3.2293146684285712</v>
      </c>
      <c r="P81">
        <v>0.12309832992857142</v>
      </c>
      <c r="Q81">
        <f t="shared" si="6"/>
        <v>12.309832992857142</v>
      </c>
    </row>
    <row r="82" spans="1:17" ht="15.75" customHeight="1" x14ac:dyDescent="0.15">
      <c r="A82" s="27" t="s">
        <v>38</v>
      </c>
      <c r="B82" s="2" t="s">
        <v>228</v>
      </c>
      <c r="C82" s="17">
        <v>45453</v>
      </c>
      <c r="D82" s="1">
        <v>2024</v>
      </c>
      <c r="E82" s="1" t="s">
        <v>39</v>
      </c>
      <c r="F82" s="1" t="s">
        <v>40</v>
      </c>
      <c r="G82" s="2" t="str">
        <f t="shared" si="5"/>
        <v>56.19398</v>
      </c>
      <c r="H82" s="2" t="str">
        <f t="shared" si="4"/>
        <v>48.65636</v>
      </c>
      <c r="I82" s="1">
        <v>3</v>
      </c>
      <c r="J82" s="5">
        <v>14.3</v>
      </c>
      <c r="K82" s="6">
        <v>7.09</v>
      </c>
      <c r="L82" s="1">
        <v>19</v>
      </c>
      <c r="M82" s="1">
        <v>10</v>
      </c>
      <c r="O82">
        <v>3.2293146684285712</v>
      </c>
      <c r="P82">
        <v>0.12309832992857142</v>
      </c>
      <c r="Q82">
        <f t="shared" si="6"/>
        <v>12.309832992857142</v>
      </c>
    </row>
    <row r="83" spans="1:17" ht="15.75" customHeight="1" x14ac:dyDescent="0.15">
      <c r="A83" s="27" t="s">
        <v>128</v>
      </c>
      <c r="B83" s="2" t="s">
        <v>228</v>
      </c>
      <c r="C83" s="19">
        <v>45826</v>
      </c>
      <c r="D83" s="1">
        <v>2025</v>
      </c>
      <c r="E83" s="1" t="s">
        <v>257</v>
      </c>
      <c r="F83" s="1" t="s">
        <v>235</v>
      </c>
      <c r="G83" s="2" t="str">
        <f t="shared" si="5"/>
        <v>56.23413</v>
      </c>
      <c r="H83" s="2" t="str">
        <f t="shared" si="4"/>
        <v>48.75180</v>
      </c>
      <c r="I83" s="8">
        <v>1</v>
      </c>
      <c r="J83" s="9">
        <v>13.4</v>
      </c>
      <c r="K83" s="10">
        <v>6.92</v>
      </c>
      <c r="L83" s="8">
        <v>34</v>
      </c>
      <c r="M83" s="8">
        <v>17</v>
      </c>
      <c r="N83" s="8">
        <v>32</v>
      </c>
      <c r="O83">
        <v>6.3563339912857142</v>
      </c>
      <c r="P83">
        <v>0.17776593657142858</v>
      </c>
      <c r="Q83">
        <f t="shared" si="6"/>
        <v>17.776593657142858</v>
      </c>
    </row>
    <row r="84" spans="1:17" ht="15.75" customHeight="1" x14ac:dyDescent="0.15">
      <c r="A84" s="27" t="s">
        <v>128</v>
      </c>
      <c r="B84" s="2" t="s">
        <v>228</v>
      </c>
      <c r="C84" s="19">
        <v>45826</v>
      </c>
      <c r="D84" s="1">
        <v>2025</v>
      </c>
      <c r="E84" s="1" t="s">
        <v>257</v>
      </c>
      <c r="F84" s="1" t="s">
        <v>235</v>
      </c>
      <c r="G84" s="2" t="str">
        <f t="shared" si="5"/>
        <v>56.23413</v>
      </c>
      <c r="H84" s="2" t="str">
        <f t="shared" si="4"/>
        <v>48.75180</v>
      </c>
      <c r="I84" s="8">
        <v>2</v>
      </c>
      <c r="J84" s="9">
        <v>13.5</v>
      </c>
      <c r="K84" s="10">
        <v>6.98</v>
      </c>
      <c r="L84" s="8">
        <v>34</v>
      </c>
      <c r="M84" s="8">
        <v>17</v>
      </c>
      <c r="N84" s="8">
        <v>28</v>
      </c>
      <c r="O84">
        <v>6.3563339912857142</v>
      </c>
      <c r="P84">
        <v>0.17776593657142858</v>
      </c>
      <c r="Q84">
        <f t="shared" si="6"/>
        <v>17.776593657142858</v>
      </c>
    </row>
    <row r="85" spans="1:17" ht="15.75" customHeight="1" x14ac:dyDescent="0.15">
      <c r="A85" s="27" t="s">
        <v>128</v>
      </c>
      <c r="B85" s="2" t="s">
        <v>228</v>
      </c>
      <c r="C85" s="19">
        <v>45826</v>
      </c>
      <c r="D85" s="1">
        <v>2025</v>
      </c>
      <c r="E85" s="1" t="s">
        <v>257</v>
      </c>
      <c r="F85" s="1" t="s">
        <v>235</v>
      </c>
      <c r="G85" s="2" t="str">
        <f t="shared" si="5"/>
        <v>56.23413</v>
      </c>
      <c r="H85" s="2" t="str">
        <f t="shared" si="4"/>
        <v>48.75180</v>
      </c>
      <c r="I85" s="8">
        <v>3</v>
      </c>
      <c r="J85" s="9">
        <v>13.5</v>
      </c>
      <c r="K85" s="10">
        <v>6.98</v>
      </c>
      <c r="L85" s="8">
        <v>33</v>
      </c>
      <c r="M85" s="8">
        <v>17</v>
      </c>
      <c r="N85" s="8">
        <v>24</v>
      </c>
      <c r="O85">
        <v>6.3563339912857142</v>
      </c>
      <c r="P85">
        <v>0.17776593657142858</v>
      </c>
      <c r="Q85">
        <f t="shared" si="6"/>
        <v>17.776593657142858</v>
      </c>
    </row>
    <row r="86" spans="1:17" ht="15.75" customHeight="1" x14ac:dyDescent="0.15">
      <c r="A86" s="28" t="s">
        <v>184</v>
      </c>
      <c r="B86" s="2" t="s">
        <v>228</v>
      </c>
      <c r="C86" s="18">
        <v>45462</v>
      </c>
      <c r="D86" s="2">
        <v>2024</v>
      </c>
      <c r="E86" s="2" t="s">
        <v>77</v>
      </c>
      <c r="F86" s="2" t="s">
        <v>78</v>
      </c>
      <c r="G86" s="2" t="str">
        <f t="shared" si="5"/>
        <v>56.24922</v>
      </c>
      <c r="H86" s="2" t="str">
        <f t="shared" si="4"/>
        <v>48.74871</v>
      </c>
      <c r="I86" s="2">
        <v>1</v>
      </c>
      <c r="J86" s="3">
        <v>18.8</v>
      </c>
      <c r="K86" s="4">
        <v>7.03</v>
      </c>
      <c r="L86" s="2">
        <v>27</v>
      </c>
      <c r="M86" s="2">
        <v>13</v>
      </c>
      <c r="N86" s="2">
        <v>24</v>
      </c>
      <c r="O86">
        <v>3.0154098606666664</v>
      </c>
      <c r="P86">
        <v>0.10177391253333333</v>
      </c>
      <c r="Q86">
        <f t="shared" si="6"/>
        <v>10.177391253333333</v>
      </c>
    </row>
    <row r="87" spans="1:17" ht="15.75" customHeight="1" x14ac:dyDescent="0.15">
      <c r="A87" s="28" t="s">
        <v>184</v>
      </c>
      <c r="B87" s="2" t="s">
        <v>228</v>
      </c>
      <c r="C87" s="18">
        <v>45462</v>
      </c>
      <c r="D87" s="2">
        <v>2024</v>
      </c>
      <c r="E87" s="2" t="s">
        <v>77</v>
      </c>
      <c r="F87" s="2" t="s">
        <v>78</v>
      </c>
      <c r="G87" s="2" t="str">
        <f t="shared" si="5"/>
        <v>56.24922</v>
      </c>
      <c r="H87" s="2" t="str">
        <f t="shared" si="4"/>
        <v>48.74871</v>
      </c>
      <c r="I87" s="2">
        <v>2</v>
      </c>
      <c r="J87" s="3">
        <v>18.8</v>
      </c>
      <c r="K87" s="4">
        <v>7.05</v>
      </c>
      <c r="L87" s="2">
        <v>26</v>
      </c>
      <c r="M87" s="2">
        <v>13</v>
      </c>
      <c r="N87" s="2">
        <v>20</v>
      </c>
      <c r="O87">
        <v>3.0154098606666664</v>
      </c>
      <c r="P87">
        <v>0.10177391253333333</v>
      </c>
      <c r="Q87">
        <f t="shared" si="6"/>
        <v>10.177391253333333</v>
      </c>
    </row>
    <row r="88" spans="1:17" ht="15.75" customHeight="1" x14ac:dyDescent="0.15">
      <c r="A88" s="28" t="s">
        <v>184</v>
      </c>
      <c r="B88" s="2" t="s">
        <v>228</v>
      </c>
      <c r="C88" s="18">
        <v>45462</v>
      </c>
      <c r="D88" s="2">
        <v>2024</v>
      </c>
      <c r="E88" s="2" t="s">
        <v>77</v>
      </c>
      <c r="F88" s="2" t="s">
        <v>78</v>
      </c>
      <c r="G88" s="2" t="str">
        <f t="shared" si="5"/>
        <v>56.24922</v>
      </c>
      <c r="H88" s="2" t="str">
        <f t="shared" si="4"/>
        <v>48.74871</v>
      </c>
      <c r="I88" s="2">
        <v>3</v>
      </c>
      <c r="J88" s="3">
        <v>18.8</v>
      </c>
      <c r="K88" s="4">
        <v>7.06</v>
      </c>
      <c r="L88" s="2">
        <v>26</v>
      </c>
      <c r="M88" s="2">
        <v>13</v>
      </c>
      <c r="N88" s="7"/>
      <c r="O88">
        <v>3.0154098606666664</v>
      </c>
      <c r="P88">
        <v>0.10177391253333333</v>
      </c>
      <c r="Q88">
        <f t="shared" si="6"/>
        <v>10.177391253333333</v>
      </c>
    </row>
    <row r="89" spans="1:17" ht="15.75" customHeight="1" x14ac:dyDescent="0.15">
      <c r="A89" s="27" t="s">
        <v>224</v>
      </c>
      <c r="B89" s="2" t="s">
        <v>229</v>
      </c>
      <c r="C89" s="21">
        <v>45551</v>
      </c>
      <c r="D89" s="1">
        <v>2024</v>
      </c>
      <c r="E89" s="26" t="s">
        <v>251</v>
      </c>
      <c r="F89" s="26" t="s">
        <v>251</v>
      </c>
      <c r="G89" s="2" t="str">
        <f t="shared" si="5"/>
        <v>56.27966</v>
      </c>
      <c r="H89" s="2" t="str">
        <f t="shared" si="4"/>
        <v xml:space="preserve">48.7591 </v>
      </c>
      <c r="I89" s="1"/>
      <c r="J89" s="1"/>
      <c r="K89" s="1">
        <v>7.085</v>
      </c>
      <c r="L89" s="1">
        <v>36.25</v>
      </c>
      <c r="M89" s="1"/>
      <c r="N89" s="1"/>
      <c r="O89">
        <v>5.3318672361666666</v>
      </c>
      <c r="P89">
        <v>0.19495426801249999</v>
      </c>
      <c r="Q89">
        <f t="shared" si="6"/>
        <v>19.495426801249998</v>
      </c>
    </row>
    <row r="90" spans="1:17" ht="15.75" customHeight="1" x14ac:dyDescent="0.15">
      <c r="A90" s="27" t="s">
        <v>85</v>
      </c>
      <c r="B90" s="2" t="s">
        <v>228</v>
      </c>
      <c r="C90" s="17">
        <v>45464</v>
      </c>
      <c r="D90" s="1">
        <v>2024</v>
      </c>
      <c r="E90" s="1" t="s">
        <v>86</v>
      </c>
      <c r="F90" s="1" t="s">
        <v>87</v>
      </c>
      <c r="G90" s="2" t="str">
        <f t="shared" si="5"/>
        <v>56.34280</v>
      </c>
      <c r="H90" s="2" t="str">
        <f t="shared" si="4"/>
        <v>48.61591</v>
      </c>
      <c r="I90" s="1">
        <v>1</v>
      </c>
      <c r="J90" s="5">
        <v>23.5</v>
      </c>
      <c r="K90" s="6">
        <v>6.71</v>
      </c>
      <c r="L90" s="1">
        <v>15</v>
      </c>
      <c r="M90" s="1">
        <v>8</v>
      </c>
      <c r="N90" s="1">
        <v>15</v>
      </c>
      <c r="O90">
        <v>5.3318672361666666</v>
      </c>
      <c r="P90">
        <v>0.19495426801249999</v>
      </c>
      <c r="Q90">
        <f t="shared" si="6"/>
        <v>19.495426801249998</v>
      </c>
    </row>
    <row r="91" spans="1:17" ht="15.75" customHeight="1" x14ac:dyDescent="0.15">
      <c r="A91" s="27" t="s">
        <v>85</v>
      </c>
      <c r="B91" s="2" t="s">
        <v>228</v>
      </c>
      <c r="C91" s="17">
        <v>45464</v>
      </c>
      <c r="D91" s="1">
        <v>2024</v>
      </c>
      <c r="E91" s="1" t="s">
        <v>86</v>
      </c>
      <c r="F91" s="1" t="s">
        <v>87</v>
      </c>
      <c r="G91" s="2" t="str">
        <f t="shared" si="5"/>
        <v>56.34280</v>
      </c>
      <c r="H91" s="2" t="str">
        <f t="shared" si="4"/>
        <v>48.61591</v>
      </c>
      <c r="I91" s="1">
        <v>2</v>
      </c>
      <c r="J91" s="5">
        <v>23.5</v>
      </c>
      <c r="K91" s="6">
        <v>6.62</v>
      </c>
      <c r="L91" s="1">
        <v>15</v>
      </c>
      <c r="M91" s="1">
        <v>8</v>
      </c>
      <c r="N91" s="1">
        <v>16</v>
      </c>
      <c r="O91">
        <v>5.3318672361666666</v>
      </c>
      <c r="P91">
        <v>0.19495426801249999</v>
      </c>
      <c r="Q91">
        <f t="shared" si="6"/>
        <v>19.495426801249998</v>
      </c>
    </row>
    <row r="92" spans="1:17" ht="15.75" customHeight="1" x14ac:dyDescent="0.15">
      <c r="A92" s="27" t="s">
        <v>85</v>
      </c>
      <c r="B92" s="2" t="s">
        <v>228</v>
      </c>
      <c r="C92" s="17">
        <v>45464</v>
      </c>
      <c r="D92" s="1">
        <v>2024</v>
      </c>
      <c r="E92" s="1" t="s">
        <v>86</v>
      </c>
      <c r="F92" s="1" t="s">
        <v>87</v>
      </c>
      <c r="G92" s="2" t="str">
        <f t="shared" si="5"/>
        <v>56.34280</v>
      </c>
      <c r="H92" s="2" t="str">
        <f t="shared" si="4"/>
        <v>48.61591</v>
      </c>
      <c r="I92" s="1">
        <v>3</v>
      </c>
      <c r="J92" s="5">
        <v>23.6</v>
      </c>
      <c r="K92" s="6">
        <v>6.56</v>
      </c>
      <c r="L92" s="1">
        <v>15</v>
      </c>
      <c r="M92" s="1">
        <v>8</v>
      </c>
      <c r="O92">
        <v>4.0151824225714288</v>
      </c>
      <c r="P92">
        <v>0.1735775438142857</v>
      </c>
      <c r="Q92">
        <f t="shared" si="6"/>
        <v>17.35775438142857</v>
      </c>
    </row>
    <row r="93" spans="1:17" ht="15.75" customHeight="1" x14ac:dyDescent="0.15">
      <c r="A93" s="28" t="s">
        <v>59</v>
      </c>
      <c r="B93" s="2" t="s">
        <v>228</v>
      </c>
      <c r="C93" s="18">
        <v>45458</v>
      </c>
      <c r="D93" s="2">
        <v>2024</v>
      </c>
      <c r="E93" s="2" t="s">
        <v>60</v>
      </c>
      <c r="F93" s="2" t="s">
        <v>61</v>
      </c>
      <c r="G93" s="2" t="str">
        <f t="shared" si="5"/>
        <v>56.38787</v>
      </c>
      <c r="H93" s="2" t="str">
        <f t="shared" si="4"/>
        <v>48.76766</v>
      </c>
      <c r="I93" s="2">
        <v>1</v>
      </c>
      <c r="J93" s="3">
        <v>17.7</v>
      </c>
      <c r="K93" s="4">
        <v>5.99</v>
      </c>
      <c r="L93" s="2">
        <v>14</v>
      </c>
      <c r="M93" s="2">
        <v>7</v>
      </c>
      <c r="N93" s="2">
        <v>18</v>
      </c>
      <c r="O93">
        <v>4.0151824225714288</v>
      </c>
      <c r="P93">
        <v>0.1735775438142857</v>
      </c>
      <c r="Q93">
        <f t="shared" si="6"/>
        <v>17.35775438142857</v>
      </c>
    </row>
    <row r="94" spans="1:17" ht="15.75" customHeight="1" x14ac:dyDescent="0.15">
      <c r="A94" s="28" t="s">
        <v>59</v>
      </c>
      <c r="B94" s="2" t="s">
        <v>228</v>
      </c>
      <c r="C94" s="18">
        <v>45458</v>
      </c>
      <c r="D94" s="2">
        <v>2024</v>
      </c>
      <c r="E94" s="2" t="s">
        <v>60</v>
      </c>
      <c r="F94" s="2" t="s">
        <v>61</v>
      </c>
      <c r="G94" s="2" t="str">
        <f t="shared" si="5"/>
        <v>56.38787</v>
      </c>
      <c r="H94" s="2" t="str">
        <f t="shared" si="4"/>
        <v>48.76766</v>
      </c>
      <c r="I94" s="2">
        <v>2</v>
      </c>
      <c r="J94" s="3">
        <v>17.5</v>
      </c>
      <c r="K94" s="4">
        <v>5.98</v>
      </c>
      <c r="L94" s="2">
        <v>14</v>
      </c>
      <c r="M94" s="2">
        <v>7</v>
      </c>
      <c r="N94" s="2">
        <v>18</v>
      </c>
      <c r="O94">
        <v>4.0151824225714288</v>
      </c>
      <c r="P94">
        <v>0.1735775438142857</v>
      </c>
      <c r="Q94">
        <f t="shared" si="6"/>
        <v>17.35775438142857</v>
      </c>
    </row>
    <row r="95" spans="1:17" ht="15.75" customHeight="1" x14ac:dyDescent="0.15">
      <c r="A95" s="28" t="s">
        <v>59</v>
      </c>
      <c r="B95" s="2" t="s">
        <v>228</v>
      </c>
      <c r="C95" s="18">
        <v>45458</v>
      </c>
      <c r="D95" s="2">
        <v>2024</v>
      </c>
      <c r="E95" s="2" t="s">
        <v>60</v>
      </c>
      <c r="F95" s="2" t="s">
        <v>61</v>
      </c>
      <c r="G95" s="2" t="str">
        <f t="shared" si="5"/>
        <v>56.38787</v>
      </c>
      <c r="H95" s="2" t="str">
        <f t="shared" si="4"/>
        <v>48.76766</v>
      </c>
      <c r="I95" s="2">
        <v>3</v>
      </c>
      <c r="J95" s="3">
        <v>17.399999999999999</v>
      </c>
      <c r="K95" s="4">
        <v>5.99</v>
      </c>
      <c r="L95" s="2">
        <v>14</v>
      </c>
      <c r="M95" s="2">
        <v>7</v>
      </c>
      <c r="N95" s="7"/>
      <c r="O95">
        <v>4.4489015867499999</v>
      </c>
      <c r="P95">
        <v>0.13668485026666669</v>
      </c>
      <c r="Q95">
        <f t="shared" si="6"/>
        <v>13.668485026666669</v>
      </c>
    </row>
    <row r="96" spans="1:17" ht="15.75" customHeight="1" x14ac:dyDescent="0.15">
      <c r="A96" s="27" t="s">
        <v>26</v>
      </c>
      <c r="B96" s="2" t="s">
        <v>228</v>
      </c>
      <c r="C96" s="17">
        <v>45451</v>
      </c>
      <c r="D96" s="1">
        <v>2024</v>
      </c>
      <c r="E96" s="1" t="s">
        <v>27</v>
      </c>
      <c r="F96" s="1" t="s">
        <v>28</v>
      </c>
      <c r="G96" s="2" t="str">
        <f t="shared" si="5"/>
        <v>56.44006</v>
      </c>
      <c r="H96" s="2" t="str">
        <f t="shared" si="4"/>
        <v>48.86467</v>
      </c>
      <c r="I96" s="1">
        <v>1</v>
      </c>
      <c r="J96" s="5">
        <v>15.5</v>
      </c>
      <c r="K96" s="6">
        <v>7.06</v>
      </c>
      <c r="L96" s="1">
        <v>21</v>
      </c>
      <c r="M96" s="1">
        <v>10</v>
      </c>
      <c r="N96" s="1">
        <v>22</v>
      </c>
      <c r="O96">
        <v>4.4489015867499999</v>
      </c>
      <c r="P96">
        <v>0.13668485026666669</v>
      </c>
      <c r="Q96">
        <f t="shared" si="6"/>
        <v>13.668485026666669</v>
      </c>
    </row>
    <row r="97" spans="1:17" ht="15.75" customHeight="1" x14ac:dyDescent="0.15">
      <c r="A97" s="27" t="s">
        <v>26</v>
      </c>
      <c r="B97" s="2" t="s">
        <v>228</v>
      </c>
      <c r="C97" s="17">
        <v>45451</v>
      </c>
      <c r="D97" s="1">
        <v>2024</v>
      </c>
      <c r="E97" s="1" t="s">
        <v>27</v>
      </c>
      <c r="F97" s="1" t="s">
        <v>28</v>
      </c>
      <c r="G97" s="2" t="str">
        <f t="shared" si="5"/>
        <v>56.44006</v>
      </c>
      <c r="H97" s="2" t="str">
        <f t="shared" si="4"/>
        <v>48.86467</v>
      </c>
      <c r="I97" s="1">
        <v>2</v>
      </c>
      <c r="J97" s="5">
        <v>15.4</v>
      </c>
      <c r="K97" s="6">
        <v>7.05</v>
      </c>
      <c r="L97" s="1">
        <v>20</v>
      </c>
      <c r="M97" s="1">
        <v>10</v>
      </c>
      <c r="N97" s="1">
        <v>32</v>
      </c>
      <c r="O97">
        <v>4.4489015867499999</v>
      </c>
      <c r="P97">
        <v>0.13668485026666669</v>
      </c>
      <c r="Q97">
        <f t="shared" si="6"/>
        <v>13.668485026666669</v>
      </c>
    </row>
    <row r="98" spans="1:17" ht="15.75" customHeight="1" x14ac:dyDescent="0.15">
      <c r="A98" s="27" t="s">
        <v>26</v>
      </c>
      <c r="B98" s="2" t="s">
        <v>228</v>
      </c>
      <c r="C98" s="17">
        <v>45451</v>
      </c>
      <c r="D98" s="1">
        <v>2024</v>
      </c>
      <c r="E98" s="1" t="s">
        <v>27</v>
      </c>
      <c r="F98" s="1" t="s">
        <v>28</v>
      </c>
      <c r="G98" s="2" t="str">
        <f t="shared" si="5"/>
        <v>56.44006</v>
      </c>
      <c r="H98" s="2" t="str">
        <f t="shared" ref="H98:H129" si="7">MID(E98,3,8)</f>
        <v>48.86467</v>
      </c>
      <c r="I98" s="1">
        <v>3</v>
      </c>
      <c r="J98" s="5">
        <v>15.4</v>
      </c>
      <c r="K98" s="6">
        <v>7.05</v>
      </c>
      <c r="L98" s="1">
        <v>20</v>
      </c>
      <c r="M98" s="1">
        <v>10</v>
      </c>
      <c r="N98" s="1">
        <v>29</v>
      </c>
      <c r="O98">
        <v>4.3151695769999998</v>
      </c>
      <c r="P98">
        <v>0.1379803104</v>
      </c>
      <c r="Q98">
        <f t="shared" si="6"/>
        <v>13.79803104</v>
      </c>
    </row>
    <row r="99" spans="1:17" ht="15.75" customHeight="1" x14ac:dyDescent="0.15">
      <c r="A99" s="27" t="s">
        <v>132</v>
      </c>
      <c r="B99" s="2" t="s">
        <v>228</v>
      </c>
      <c r="C99" s="19">
        <v>45832</v>
      </c>
      <c r="D99" s="1">
        <v>2025</v>
      </c>
      <c r="E99" s="1" t="s">
        <v>261</v>
      </c>
      <c r="F99" s="1" t="s">
        <v>239</v>
      </c>
      <c r="G99" s="2" t="str">
        <f t="shared" si="5"/>
        <v>56.47289</v>
      </c>
      <c r="H99" s="2" t="str">
        <f t="shared" si="7"/>
        <v>48.84579</v>
      </c>
      <c r="I99" s="8">
        <v>1</v>
      </c>
      <c r="J99" s="9">
        <v>14.8</v>
      </c>
      <c r="K99" s="10">
        <v>6.64</v>
      </c>
      <c r="L99" s="8">
        <v>37</v>
      </c>
      <c r="M99" s="8">
        <v>18</v>
      </c>
      <c r="N99" s="8">
        <v>32</v>
      </c>
      <c r="O99">
        <v>4.3151695769999998</v>
      </c>
      <c r="P99">
        <v>0.1379803104</v>
      </c>
      <c r="Q99">
        <f t="shared" si="6"/>
        <v>13.79803104</v>
      </c>
    </row>
    <row r="100" spans="1:17" ht="15.75" customHeight="1" x14ac:dyDescent="0.15">
      <c r="A100" s="27" t="s">
        <v>132</v>
      </c>
      <c r="B100" s="2" t="s">
        <v>228</v>
      </c>
      <c r="C100" s="19">
        <v>45832</v>
      </c>
      <c r="D100" s="1">
        <v>2025</v>
      </c>
      <c r="E100" s="1" t="s">
        <v>261</v>
      </c>
      <c r="F100" s="1" t="s">
        <v>239</v>
      </c>
      <c r="G100" s="2" t="str">
        <f t="shared" si="5"/>
        <v>56.47289</v>
      </c>
      <c r="H100" s="2" t="str">
        <f t="shared" si="7"/>
        <v>48.84579</v>
      </c>
      <c r="I100" s="8">
        <v>2</v>
      </c>
      <c r="J100" s="9">
        <v>14.8</v>
      </c>
      <c r="K100" s="10">
        <v>6.82</v>
      </c>
      <c r="L100" s="8">
        <v>39</v>
      </c>
      <c r="M100" s="8">
        <v>19</v>
      </c>
      <c r="N100" s="8">
        <v>56</v>
      </c>
      <c r="O100">
        <v>4.3151695769999998</v>
      </c>
      <c r="P100">
        <v>0.1379803104</v>
      </c>
      <c r="Q100">
        <f t="shared" si="6"/>
        <v>13.79803104</v>
      </c>
    </row>
    <row r="101" spans="1:17" ht="15.75" customHeight="1" x14ac:dyDescent="0.15">
      <c r="A101" s="27" t="s">
        <v>132</v>
      </c>
      <c r="B101" s="2" t="s">
        <v>228</v>
      </c>
      <c r="C101" s="19">
        <v>45832</v>
      </c>
      <c r="D101" s="1">
        <v>2025</v>
      </c>
      <c r="E101" s="1" t="s">
        <v>261</v>
      </c>
      <c r="F101" s="1" t="s">
        <v>239</v>
      </c>
      <c r="G101" s="2" t="str">
        <f t="shared" si="5"/>
        <v>56.47289</v>
      </c>
      <c r="H101" s="2" t="str">
        <f t="shared" si="7"/>
        <v>48.84579</v>
      </c>
      <c r="I101" s="8">
        <v>3</v>
      </c>
      <c r="J101" s="9">
        <v>14.9</v>
      </c>
      <c r="K101" s="10">
        <v>6.93</v>
      </c>
      <c r="L101" s="8">
        <v>37</v>
      </c>
      <c r="M101" s="8">
        <v>18</v>
      </c>
      <c r="N101" s="8">
        <v>32</v>
      </c>
      <c r="O101">
        <v>4.3964300841249999</v>
      </c>
      <c r="P101">
        <v>0.19056448147142854</v>
      </c>
      <c r="Q101">
        <f t="shared" si="6"/>
        <v>19.056448147142856</v>
      </c>
    </row>
    <row r="102" spans="1:17" ht="15.75" customHeight="1" x14ac:dyDescent="0.15">
      <c r="A102" s="27" t="s">
        <v>223</v>
      </c>
      <c r="B102" s="2" t="s">
        <v>229</v>
      </c>
      <c r="C102" s="21">
        <v>45550</v>
      </c>
      <c r="D102" s="1">
        <v>2024</v>
      </c>
      <c r="E102" s="26" t="s">
        <v>250</v>
      </c>
      <c r="F102" s="26" t="s">
        <v>250</v>
      </c>
      <c r="G102" s="2" t="str">
        <f t="shared" si="5"/>
        <v>56.48014</v>
      </c>
      <c r="H102" s="2" t="str">
        <f t="shared" si="7"/>
        <v xml:space="preserve">48.8490 </v>
      </c>
      <c r="I102" s="1"/>
      <c r="J102" s="1"/>
      <c r="K102" s="1">
        <v>7.1549999999999994</v>
      </c>
      <c r="L102" s="1">
        <v>37</v>
      </c>
      <c r="M102" s="1"/>
      <c r="N102" s="1"/>
      <c r="O102">
        <v>4.3964300841249999</v>
      </c>
      <c r="P102">
        <v>0.19056448147142854</v>
      </c>
      <c r="Q102">
        <f t="shared" si="6"/>
        <v>19.056448147142856</v>
      </c>
    </row>
    <row r="103" spans="1:17" ht="15.75" customHeight="1" x14ac:dyDescent="0.15">
      <c r="A103" s="27" t="s">
        <v>114</v>
      </c>
      <c r="B103" s="2" t="s">
        <v>228</v>
      </c>
      <c r="C103" s="17">
        <v>45474</v>
      </c>
      <c r="D103" s="1">
        <v>2024</v>
      </c>
      <c r="E103" s="1" t="s">
        <v>115</v>
      </c>
      <c r="F103" s="1" t="s">
        <v>116</v>
      </c>
      <c r="G103" s="2" t="str">
        <f t="shared" si="5"/>
        <v>56.51104</v>
      </c>
      <c r="H103" s="2" t="str">
        <f t="shared" si="7"/>
        <v>48.68157</v>
      </c>
      <c r="I103" s="1">
        <v>1</v>
      </c>
      <c r="J103" s="5">
        <v>18.8</v>
      </c>
      <c r="K103" s="6">
        <v>7.07</v>
      </c>
      <c r="L103" s="1">
        <v>28</v>
      </c>
      <c r="M103" s="1">
        <v>14</v>
      </c>
      <c r="N103" s="1">
        <v>16</v>
      </c>
      <c r="O103">
        <v>4.3964300841249999</v>
      </c>
      <c r="P103">
        <v>0.19056448147142854</v>
      </c>
      <c r="Q103">
        <f t="shared" si="6"/>
        <v>19.056448147142856</v>
      </c>
    </row>
    <row r="104" spans="1:17" ht="15.75" customHeight="1" x14ac:dyDescent="0.15">
      <c r="A104" s="27" t="s">
        <v>114</v>
      </c>
      <c r="B104" s="2" t="s">
        <v>228</v>
      </c>
      <c r="C104" s="17">
        <v>45474</v>
      </c>
      <c r="D104" s="1">
        <v>2024</v>
      </c>
      <c r="E104" s="1" t="s">
        <v>115</v>
      </c>
      <c r="F104" s="1" t="s">
        <v>116</v>
      </c>
      <c r="G104" s="2" t="str">
        <f t="shared" si="5"/>
        <v>56.51104</v>
      </c>
      <c r="H104" s="2" t="str">
        <f t="shared" si="7"/>
        <v>48.68157</v>
      </c>
      <c r="I104" s="1">
        <v>2</v>
      </c>
      <c r="J104" s="5">
        <v>18.7</v>
      </c>
      <c r="K104" s="6">
        <v>7.06</v>
      </c>
      <c r="L104" s="1">
        <v>27</v>
      </c>
      <c r="M104" s="1">
        <v>14</v>
      </c>
      <c r="N104" s="1">
        <v>16</v>
      </c>
      <c r="O104">
        <v>3.152495407</v>
      </c>
      <c r="P104">
        <v>0.1229751201857143</v>
      </c>
      <c r="Q104">
        <f t="shared" si="6"/>
        <v>12.29751201857143</v>
      </c>
    </row>
    <row r="105" spans="1:17" ht="15.75" customHeight="1" x14ac:dyDescent="0.15">
      <c r="A105" s="27" t="s">
        <v>114</v>
      </c>
      <c r="B105" s="2" t="s">
        <v>228</v>
      </c>
      <c r="C105" s="17">
        <v>45474</v>
      </c>
      <c r="D105" s="1">
        <v>2024</v>
      </c>
      <c r="E105" s="1" t="s">
        <v>115</v>
      </c>
      <c r="F105" s="1" t="s">
        <v>116</v>
      </c>
      <c r="G105" s="2" t="str">
        <f t="shared" si="5"/>
        <v>56.51104</v>
      </c>
      <c r="H105" s="2" t="str">
        <f t="shared" si="7"/>
        <v>48.68157</v>
      </c>
      <c r="I105" s="1">
        <v>3</v>
      </c>
      <c r="J105" s="5">
        <v>18.7</v>
      </c>
      <c r="K105" s="6">
        <v>7.05</v>
      </c>
      <c r="L105" s="1">
        <v>27</v>
      </c>
      <c r="M105" s="1">
        <v>14</v>
      </c>
      <c r="O105">
        <v>3.152495407</v>
      </c>
      <c r="P105">
        <v>0.1229751201857143</v>
      </c>
      <c r="Q105">
        <f t="shared" si="6"/>
        <v>12.29751201857143</v>
      </c>
    </row>
    <row r="106" spans="1:17" ht="15.75" customHeight="1" x14ac:dyDescent="0.15">
      <c r="A106" s="27" t="s">
        <v>221</v>
      </c>
      <c r="B106" s="2" t="s">
        <v>229</v>
      </c>
      <c r="D106" s="1">
        <v>2024</v>
      </c>
      <c r="E106" s="26" t="s">
        <v>248</v>
      </c>
      <c r="F106" s="26" t="s">
        <v>248</v>
      </c>
      <c r="G106" s="2" t="str">
        <f t="shared" si="5"/>
        <v>56.52348</v>
      </c>
      <c r="H106" s="2" t="str">
        <f t="shared" si="7"/>
        <v>48.68819</v>
      </c>
      <c r="I106" s="1"/>
      <c r="J106" s="1"/>
      <c r="K106" s="1">
        <v>7.1124999999999998</v>
      </c>
      <c r="L106" s="1">
        <v>49.5</v>
      </c>
      <c r="M106" s="1"/>
      <c r="N106" s="1"/>
      <c r="O106">
        <v>3.152495407</v>
      </c>
      <c r="P106">
        <v>0.1229751201857143</v>
      </c>
      <c r="Q106">
        <f t="shared" si="6"/>
        <v>12.29751201857143</v>
      </c>
    </row>
    <row r="107" spans="1:17" ht="15.75" customHeight="1" x14ac:dyDescent="0.15">
      <c r="A107" s="28" t="s">
        <v>137</v>
      </c>
      <c r="B107" s="2" t="s">
        <v>228</v>
      </c>
      <c r="C107" s="20">
        <v>45838</v>
      </c>
      <c r="D107" s="2">
        <v>2025</v>
      </c>
      <c r="E107" s="2" t="s">
        <v>267</v>
      </c>
      <c r="F107" s="2" t="s">
        <v>244</v>
      </c>
      <c r="G107" s="2" t="str">
        <f t="shared" si="5"/>
        <v>56.59022</v>
      </c>
      <c r="H107" s="2" t="str">
        <f t="shared" si="7"/>
        <v>48.75338</v>
      </c>
      <c r="I107" s="11">
        <v>1</v>
      </c>
      <c r="J107" s="12">
        <v>16.3</v>
      </c>
      <c r="K107" s="13">
        <v>7.09</v>
      </c>
      <c r="L107" s="11">
        <v>32</v>
      </c>
      <c r="M107" s="11">
        <v>16</v>
      </c>
      <c r="N107" s="11">
        <v>24</v>
      </c>
      <c r="O107">
        <v>7.2656423791428564</v>
      </c>
      <c r="P107">
        <v>0.29530455507499997</v>
      </c>
      <c r="Q107">
        <f t="shared" si="6"/>
        <v>29.530455507499997</v>
      </c>
    </row>
    <row r="108" spans="1:17" ht="15.75" customHeight="1" x14ac:dyDescent="0.15">
      <c r="A108" s="28" t="s">
        <v>137</v>
      </c>
      <c r="B108" s="2" t="s">
        <v>228</v>
      </c>
      <c r="C108" s="20">
        <v>45838</v>
      </c>
      <c r="D108" s="2">
        <v>2025</v>
      </c>
      <c r="E108" s="2" t="s">
        <v>267</v>
      </c>
      <c r="F108" s="2" t="s">
        <v>244</v>
      </c>
      <c r="G108" s="2" t="str">
        <f t="shared" si="5"/>
        <v>56.59022</v>
      </c>
      <c r="H108" s="2" t="str">
        <f t="shared" si="7"/>
        <v>48.75338</v>
      </c>
      <c r="I108" s="11">
        <v>2</v>
      </c>
      <c r="J108" s="12">
        <v>16.3</v>
      </c>
      <c r="K108" s="13">
        <v>7.1</v>
      </c>
      <c r="L108" s="11">
        <v>32</v>
      </c>
      <c r="M108" s="11">
        <v>16</v>
      </c>
      <c r="N108" s="11">
        <v>24</v>
      </c>
      <c r="O108">
        <v>7.2656423791428564</v>
      </c>
      <c r="P108">
        <v>0.29530455507499997</v>
      </c>
      <c r="Q108">
        <f t="shared" si="6"/>
        <v>29.530455507499997</v>
      </c>
    </row>
    <row r="109" spans="1:17" ht="15.75" customHeight="1" x14ac:dyDescent="0.15">
      <c r="A109" s="28" t="s">
        <v>137</v>
      </c>
      <c r="B109" s="2" t="s">
        <v>228</v>
      </c>
      <c r="C109" s="20">
        <v>45838</v>
      </c>
      <c r="D109" s="2">
        <v>2025</v>
      </c>
      <c r="E109" s="2" t="s">
        <v>267</v>
      </c>
      <c r="F109" s="2" t="s">
        <v>244</v>
      </c>
      <c r="G109" s="2" t="str">
        <f t="shared" si="5"/>
        <v>56.59022</v>
      </c>
      <c r="H109" s="2" t="str">
        <f t="shared" si="7"/>
        <v>48.75338</v>
      </c>
      <c r="I109" s="11">
        <v>3</v>
      </c>
      <c r="J109" s="12">
        <v>16.3</v>
      </c>
      <c r="K109" s="13">
        <v>7.09</v>
      </c>
      <c r="L109" s="11">
        <v>32</v>
      </c>
      <c r="M109" s="11">
        <v>16</v>
      </c>
      <c r="N109" s="11">
        <v>28</v>
      </c>
      <c r="O109">
        <v>7.2656423791428564</v>
      </c>
      <c r="P109">
        <v>0.29530455507499997</v>
      </c>
      <c r="Q109">
        <f t="shared" si="6"/>
        <v>29.530455507499997</v>
      </c>
    </row>
    <row r="110" spans="1:17" ht="15.75" customHeight="1" x14ac:dyDescent="0.15">
      <c r="A110" s="27" t="s">
        <v>120</v>
      </c>
      <c r="B110" s="2" t="s">
        <v>228</v>
      </c>
      <c r="C110" s="17">
        <v>45475</v>
      </c>
      <c r="D110" s="1">
        <v>2024</v>
      </c>
      <c r="E110" s="1" t="s">
        <v>121</v>
      </c>
      <c r="F110" s="1" t="s">
        <v>122</v>
      </c>
      <c r="G110" s="2" t="str">
        <f t="shared" si="5"/>
        <v>56.59879</v>
      </c>
      <c r="H110" s="2" t="str">
        <f t="shared" si="7"/>
        <v>48.74133</v>
      </c>
      <c r="I110" s="1">
        <v>1</v>
      </c>
      <c r="J110" s="5">
        <v>19</v>
      </c>
      <c r="K110" s="6">
        <v>7.18</v>
      </c>
      <c r="L110" s="1">
        <v>23</v>
      </c>
      <c r="M110" s="1">
        <v>12</v>
      </c>
      <c r="N110" s="1">
        <v>20</v>
      </c>
      <c r="O110">
        <v>3.9818135941428565</v>
      </c>
      <c r="P110">
        <v>0.1710473414625</v>
      </c>
      <c r="Q110">
        <f t="shared" si="6"/>
        <v>17.104734146249999</v>
      </c>
    </row>
    <row r="111" spans="1:17" ht="15.75" customHeight="1" x14ac:dyDescent="0.15">
      <c r="A111" s="27" t="s">
        <v>120</v>
      </c>
      <c r="B111" s="2" t="s">
        <v>228</v>
      </c>
      <c r="C111" s="17">
        <v>45475</v>
      </c>
      <c r="D111" s="1">
        <v>2024</v>
      </c>
      <c r="E111" s="1" t="s">
        <v>121</v>
      </c>
      <c r="F111" s="1" t="s">
        <v>122</v>
      </c>
      <c r="G111" s="2" t="str">
        <f t="shared" si="5"/>
        <v>56.59879</v>
      </c>
      <c r="H111" s="2" t="str">
        <f t="shared" si="7"/>
        <v>48.74133</v>
      </c>
      <c r="I111" s="1">
        <v>2</v>
      </c>
      <c r="J111" s="5">
        <v>19</v>
      </c>
      <c r="K111" s="6">
        <v>7.19</v>
      </c>
      <c r="L111" s="1">
        <v>23</v>
      </c>
      <c r="M111" s="1">
        <v>12</v>
      </c>
      <c r="N111" s="1">
        <v>20</v>
      </c>
      <c r="O111">
        <v>3.9818135941428565</v>
      </c>
      <c r="P111">
        <v>0.1710473414625</v>
      </c>
      <c r="Q111">
        <f t="shared" si="6"/>
        <v>17.104734146249999</v>
      </c>
    </row>
    <row r="112" spans="1:17" ht="15.75" customHeight="1" x14ac:dyDescent="0.15">
      <c r="A112" s="27" t="s">
        <v>120</v>
      </c>
      <c r="B112" s="2" t="s">
        <v>228</v>
      </c>
      <c r="C112" s="17">
        <v>45475</v>
      </c>
      <c r="D112" s="1">
        <v>2024</v>
      </c>
      <c r="E112" s="1" t="s">
        <v>121</v>
      </c>
      <c r="F112" s="1" t="s">
        <v>122</v>
      </c>
      <c r="G112" s="2" t="str">
        <f t="shared" si="5"/>
        <v>56.59879</v>
      </c>
      <c r="H112" s="2" t="str">
        <f t="shared" si="7"/>
        <v>48.74133</v>
      </c>
      <c r="I112" s="1">
        <v>3</v>
      </c>
      <c r="J112" s="5">
        <v>19</v>
      </c>
      <c r="K112" s="6">
        <v>7.2</v>
      </c>
      <c r="L112" s="1">
        <v>23</v>
      </c>
      <c r="M112" s="1">
        <v>12</v>
      </c>
      <c r="O112">
        <v>3.9818135941428565</v>
      </c>
      <c r="P112">
        <v>0.1710473414625</v>
      </c>
      <c r="Q112">
        <f t="shared" si="6"/>
        <v>17.104734146249999</v>
      </c>
    </row>
    <row r="113" spans="1:17" ht="15.75" customHeight="1" x14ac:dyDescent="0.15">
      <c r="A113" s="28" t="s">
        <v>117</v>
      </c>
      <c r="B113" s="2" t="s">
        <v>228</v>
      </c>
      <c r="C113" s="18">
        <v>45475</v>
      </c>
      <c r="D113" s="2">
        <v>2024</v>
      </c>
      <c r="E113" s="2" t="s">
        <v>118</v>
      </c>
      <c r="F113" s="2" t="s">
        <v>119</v>
      </c>
      <c r="G113" s="2" t="str">
        <f t="shared" si="5"/>
        <v>56.63340</v>
      </c>
      <c r="H113" s="2" t="str">
        <f t="shared" si="7"/>
        <v>48.60475</v>
      </c>
      <c r="I113" s="2">
        <v>1</v>
      </c>
      <c r="J113" s="3">
        <v>18.2</v>
      </c>
      <c r="K113" s="4">
        <v>7.17</v>
      </c>
      <c r="L113" s="2">
        <v>25</v>
      </c>
      <c r="M113" s="2">
        <v>12</v>
      </c>
      <c r="N113" s="2">
        <v>20</v>
      </c>
      <c r="O113">
        <v>5.4361699301428574</v>
      </c>
      <c r="P113">
        <v>0.29521500989999999</v>
      </c>
      <c r="Q113">
        <f t="shared" si="6"/>
        <v>29.52150099</v>
      </c>
    </row>
    <row r="114" spans="1:17" ht="15.75" customHeight="1" x14ac:dyDescent="0.15">
      <c r="A114" s="28" t="s">
        <v>117</v>
      </c>
      <c r="B114" s="2" t="s">
        <v>228</v>
      </c>
      <c r="C114" s="18">
        <v>45475</v>
      </c>
      <c r="D114" s="2">
        <v>2024</v>
      </c>
      <c r="E114" s="2" t="s">
        <v>118</v>
      </c>
      <c r="F114" s="2" t="s">
        <v>119</v>
      </c>
      <c r="G114" s="2" t="str">
        <f t="shared" si="5"/>
        <v>56.63340</v>
      </c>
      <c r="H114" s="2" t="str">
        <f t="shared" si="7"/>
        <v>48.60475</v>
      </c>
      <c r="I114" s="2">
        <v>2</v>
      </c>
      <c r="J114" s="3">
        <v>18.100000000000001</v>
      </c>
      <c r="K114" s="4">
        <v>7.17</v>
      </c>
      <c r="L114" s="2">
        <v>25</v>
      </c>
      <c r="M114" s="2">
        <v>12</v>
      </c>
      <c r="N114" s="2">
        <v>24</v>
      </c>
      <c r="O114">
        <v>5.4361699301428574</v>
      </c>
      <c r="P114">
        <v>0.29521500989999999</v>
      </c>
      <c r="Q114">
        <f t="shared" si="6"/>
        <v>29.52150099</v>
      </c>
    </row>
    <row r="115" spans="1:17" ht="15.75" customHeight="1" x14ac:dyDescent="0.15">
      <c r="A115" s="28" t="s">
        <v>117</v>
      </c>
      <c r="B115" s="2" t="s">
        <v>228</v>
      </c>
      <c r="C115" s="18">
        <v>45475</v>
      </c>
      <c r="D115" s="2">
        <v>2024</v>
      </c>
      <c r="E115" s="2" t="s">
        <v>118</v>
      </c>
      <c r="F115" s="2" t="s">
        <v>119</v>
      </c>
      <c r="G115" s="2" t="str">
        <f t="shared" si="5"/>
        <v>56.63340</v>
      </c>
      <c r="H115" s="2" t="str">
        <f t="shared" si="7"/>
        <v>48.60475</v>
      </c>
      <c r="I115" s="2">
        <v>3</v>
      </c>
      <c r="J115" s="3">
        <v>18.100000000000001</v>
      </c>
      <c r="K115" s="4">
        <v>7.17</v>
      </c>
      <c r="L115" s="2">
        <v>25</v>
      </c>
      <c r="M115" s="2">
        <v>12</v>
      </c>
      <c r="N115" s="7"/>
      <c r="O115">
        <v>5.4361699301428574</v>
      </c>
      <c r="P115">
        <v>0.29521500989999999</v>
      </c>
      <c r="Q115">
        <f t="shared" si="6"/>
        <v>29.52150099</v>
      </c>
    </row>
    <row r="116" spans="1:17" ht="15.75" customHeight="1" x14ac:dyDescent="0.15">
      <c r="A116" s="28" t="s">
        <v>35</v>
      </c>
      <c r="B116" s="2" t="s">
        <v>228</v>
      </c>
      <c r="C116" s="18">
        <v>45453</v>
      </c>
      <c r="D116" s="2">
        <v>2024</v>
      </c>
      <c r="E116" s="2" t="s">
        <v>36</v>
      </c>
      <c r="F116" s="2" t="s">
        <v>37</v>
      </c>
      <c r="G116" s="2" t="str">
        <f t="shared" si="5"/>
        <v>56.63420</v>
      </c>
      <c r="H116" s="2" t="str">
        <f t="shared" si="7"/>
        <v>48.61349</v>
      </c>
      <c r="I116" s="2">
        <v>1</v>
      </c>
      <c r="J116" s="3">
        <v>13.8</v>
      </c>
      <c r="K116" s="4">
        <v>6.55</v>
      </c>
      <c r="L116" s="2">
        <v>15</v>
      </c>
      <c r="M116" s="2">
        <v>7</v>
      </c>
      <c r="N116" s="2">
        <v>16</v>
      </c>
      <c r="O116">
        <v>4.6439338415714291</v>
      </c>
      <c r="P116">
        <v>0.24243231601249998</v>
      </c>
      <c r="Q116">
        <f t="shared" si="6"/>
        <v>24.243231601249999</v>
      </c>
    </row>
    <row r="117" spans="1:17" ht="15.75" customHeight="1" x14ac:dyDescent="0.15">
      <c r="A117" s="28" t="s">
        <v>35</v>
      </c>
      <c r="B117" s="2" t="s">
        <v>228</v>
      </c>
      <c r="C117" s="18">
        <v>45453</v>
      </c>
      <c r="D117" s="2">
        <v>2024</v>
      </c>
      <c r="E117" s="2" t="s">
        <v>36</v>
      </c>
      <c r="F117" s="2" t="s">
        <v>37</v>
      </c>
      <c r="G117" s="2" t="str">
        <f t="shared" si="5"/>
        <v>56.63420</v>
      </c>
      <c r="H117" s="2" t="str">
        <f t="shared" si="7"/>
        <v>48.61349</v>
      </c>
      <c r="I117" s="2">
        <v>2</v>
      </c>
      <c r="J117" s="3">
        <v>13.7</v>
      </c>
      <c r="K117" s="4">
        <v>6.54</v>
      </c>
      <c r="L117" s="2">
        <v>16</v>
      </c>
      <c r="M117" s="2">
        <v>7</v>
      </c>
      <c r="N117" s="2">
        <v>12</v>
      </c>
      <c r="O117">
        <v>4.6439338415714291</v>
      </c>
      <c r="P117">
        <v>0.24243231601249998</v>
      </c>
      <c r="Q117">
        <f t="shared" si="6"/>
        <v>24.243231601249999</v>
      </c>
    </row>
    <row r="118" spans="1:17" ht="15.75" customHeight="1" x14ac:dyDescent="0.15">
      <c r="A118" s="28" t="s">
        <v>35</v>
      </c>
      <c r="B118" s="2" t="s">
        <v>228</v>
      </c>
      <c r="C118" s="18">
        <v>45453</v>
      </c>
      <c r="D118" s="2">
        <v>2024</v>
      </c>
      <c r="E118" s="2" t="s">
        <v>36</v>
      </c>
      <c r="F118" s="2" t="s">
        <v>37</v>
      </c>
      <c r="G118" s="2" t="str">
        <f t="shared" si="5"/>
        <v>56.63420</v>
      </c>
      <c r="H118" s="2" t="str">
        <f t="shared" si="7"/>
        <v>48.61349</v>
      </c>
      <c r="I118" s="2">
        <v>3</v>
      </c>
      <c r="J118" s="3">
        <v>13.8</v>
      </c>
      <c r="K118" s="4">
        <v>6.53</v>
      </c>
      <c r="L118" s="2">
        <v>15</v>
      </c>
      <c r="M118" s="2">
        <v>7</v>
      </c>
      <c r="N118" s="2">
        <v>16</v>
      </c>
      <c r="O118">
        <v>4.6439338415714291</v>
      </c>
      <c r="P118">
        <v>0.24243231601249998</v>
      </c>
      <c r="Q118">
        <f t="shared" si="6"/>
        <v>24.243231601249999</v>
      </c>
    </row>
    <row r="119" spans="1:17" ht="15.75" customHeight="1" x14ac:dyDescent="0.15">
      <c r="A119" s="27" t="s">
        <v>227</v>
      </c>
      <c r="B119" s="2" t="s">
        <v>229</v>
      </c>
      <c r="C119" s="21">
        <v>45550</v>
      </c>
      <c r="D119" s="1">
        <v>2024</v>
      </c>
      <c r="E119" s="26" t="s">
        <v>254</v>
      </c>
      <c r="F119" s="26" t="s">
        <v>254</v>
      </c>
      <c r="G119" s="2" t="str">
        <f t="shared" si="5"/>
        <v>56.67861</v>
      </c>
      <c r="H119" s="2" t="str">
        <f t="shared" si="7"/>
        <v xml:space="preserve">48.7426 </v>
      </c>
      <c r="I119" s="1"/>
      <c r="J119" s="1"/>
      <c r="K119" s="1">
        <v>7.1650000000000009</v>
      </c>
      <c r="L119" s="1">
        <v>36.75</v>
      </c>
      <c r="M119" s="1"/>
      <c r="N119" s="1"/>
      <c r="O119">
        <v>6.0465870048666659</v>
      </c>
      <c r="P119">
        <v>0.47222585199999995</v>
      </c>
      <c r="Q119">
        <f t="shared" si="6"/>
        <v>47.222585199999997</v>
      </c>
    </row>
    <row r="120" spans="1:17" ht="15.75" customHeight="1" x14ac:dyDescent="0.15">
      <c r="A120" s="27" t="s">
        <v>44</v>
      </c>
      <c r="B120" s="2" t="s">
        <v>228</v>
      </c>
      <c r="C120" s="17">
        <v>45454</v>
      </c>
      <c r="D120" s="1">
        <v>2024</v>
      </c>
      <c r="E120" s="1" t="s">
        <v>45</v>
      </c>
      <c r="F120" s="1" t="s">
        <v>46</v>
      </c>
      <c r="G120" s="2" t="str">
        <f t="shared" si="5"/>
        <v>56.69196</v>
      </c>
      <c r="H120" s="2" t="str">
        <f t="shared" si="7"/>
        <v>48.80797</v>
      </c>
      <c r="I120" s="1">
        <v>1</v>
      </c>
      <c r="J120" s="5">
        <v>14.3</v>
      </c>
      <c r="K120" s="6">
        <v>6.78</v>
      </c>
      <c r="L120" s="1">
        <v>13</v>
      </c>
      <c r="M120" s="1">
        <v>7</v>
      </c>
      <c r="N120" s="1">
        <v>16</v>
      </c>
      <c r="O120">
        <v>6.0465870048666659</v>
      </c>
      <c r="P120">
        <v>0.47222585199999995</v>
      </c>
      <c r="Q120">
        <f t="shared" si="6"/>
        <v>47.222585199999997</v>
      </c>
    </row>
    <row r="121" spans="1:17" ht="15.75" customHeight="1" x14ac:dyDescent="0.15">
      <c r="A121" s="27" t="s">
        <v>44</v>
      </c>
      <c r="B121" s="2" t="s">
        <v>228</v>
      </c>
      <c r="C121" s="17">
        <v>45454</v>
      </c>
      <c r="D121" s="1">
        <v>2024</v>
      </c>
      <c r="E121" s="1" t="s">
        <v>45</v>
      </c>
      <c r="F121" s="1" t="s">
        <v>46</v>
      </c>
      <c r="G121" s="2" t="str">
        <f t="shared" si="5"/>
        <v>56.69196</v>
      </c>
      <c r="H121" s="2" t="str">
        <f t="shared" si="7"/>
        <v>48.80797</v>
      </c>
      <c r="I121" s="1">
        <v>2</v>
      </c>
      <c r="J121" s="5">
        <v>14.2</v>
      </c>
      <c r="K121" s="6">
        <v>6.8</v>
      </c>
      <c r="L121" s="1">
        <v>13</v>
      </c>
      <c r="M121" s="1">
        <v>6</v>
      </c>
      <c r="N121" s="1">
        <v>20</v>
      </c>
      <c r="O121">
        <v>6.0465870048666659</v>
      </c>
      <c r="P121">
        <v>0.47222585199999995</v>
      </c>
      <c r="Q121">
        <f t="shared" si="6"/>
        <v>47.222585199999997</v>
      </c>
    </row>
    <row r="122" spans="1:17" ht="15.75" customHeight="1" x14ac:dyDescent="0.15">
      <c r="A122" s="27" t="s">
        <v>44</v>
      </c>
      <c r="B122" s="2" t="s">
        <v>228</v>
      </c>
      <c r="C122" s="17">
        <v>45454</v>
      </c>
      <c r="D122" s="1">
        <v>2024</v>
      </c>
      <c r="E122" s="1" t="s">
        <v>45</v>
      </c>
      <c r="F122" s="1" t="s">
        <v>46</v>
      </c>
      <c r="G122" s="2" t="str">
        <f t="shared" si="5"/>
        <v>56.69196</v>
      </c>
      <c r="H122" s="2" t="str">
        <f t="shared" si="7"/>
        <v>48.80797</v>
      </c>
      <c r="I122" s="1">
        <v>3</v>
      </c>
      <c r="J122" s="5">
        <v>14.2</v>
      </c>
      <c r="K122" s="6">
        <v>6.83</v>
      </c>
      <c r="L122" s="1">
        <v>13</v>
      </c>
      <c r="M122" s="1">
        <v>6</v>
      </c>
      <c r="N122" s="1">
        <v>20</v>
      </c>
      <c r="O122">
        <v>4.8022898885333332</v>
      </c>
      <c r="P122">
        <v>0.3069369110416667</v>
      </c>
      <c r="Q122">
        <f t="shared" si="6"/>
        <v>30.693691104166671</v>
      </c>
    </row>
    <row r="123" spans="1:17" ht="15.75" customHeight="1" x14ac:dyDescent="0.15">
      <c r="A123" s="27" t="s">
        <v>62</v>
      </c>
      <c r="B123" s="2" t="s">
        <v>228</v>
      </c>
      <c r="C123" s="17">
        <v>45458</v>
      </c>
      <c r="D123" s="1">
        <v>2024</v>
      </c>
      <c r="E123" s="1" t="s">
        <v>63</v>
      </c>
      <c r="F123" s="1" t="s">
        <v>64</v>
      </c>
      <c r="G123" s="2" t="str">
        <f t="shared" si="5"/>
        <v>56.73870</v>
      </c>
      <c r="H123" s="2" t="str">
        <f t="shared" si="7"/>
        <v>48.41282</v>
      </c>
      <c r="I123" s="1">
        <v>1</v>
      </c>
      <c r="J123" s="5">
        <v>17.7</v>
      </c>
      <c r="K123" s="6">
        <v>6.49</v>
      </c>
      <c r="L123" s="1">
        <v>16</v>
      </c>
      <c r="M123" s="1">
        <v>8</v>
      </c>
      <c r="N123" s="1">
        <v>24</v>
      </c>
      <c r="O123">
        <v>4.8022898885333332</v>
      </c>
      <c r="P123">
        <v>0.3069369110416667</v>
      </c>
      <c r="Q123">
        <f t="shared" si="6"/>
        <v>30.693691104166671</v>
      </c>
    </row>
    <row r="124" spans="1:17" ht="15.75" customHeight="1" x14ac:dyDescent="0.15">
      <c r="A124" s="27" t="s">
        <v>62</v>
      </c>
      <c r="B124" s="2" t="s">
        <v>228</v>
      </c>
      <c r="C124" s="17">
        <v>45458</v>
      </c>
      <c r="D124" s="1">
        <v>2024</v>
      </c>
      <c r="E124" s="1" t="s">
        <v>63</v>
      </c>
      <c r="F124" s="1" t="s">
        <v>64</v>
      </c>
      <c r="G124" s="2" t="str">
        <f t="shared" si="5"/>
        <v>56.73870</v>
      </c>
      <c r="H124" s="2" t="str">
        <f t="shared" si="7"/>
        <v>48.41282</v>
      </c>
      <c r="I124" s="1">
        <v>2</v>
      </c>
      <c r="J124" s="5">
        <v>17.7</v>
      </c>
      <c r="K124" s="6">
        <v>6.49</v>
      </c>
      <c r="L124" s="1">
        <v>14</v>
      </c>
      <c r="M124" s="1">
        <v>7</v>
      </c>
      <c r="N124" s="1">
        <v>24</v>
      </c>
      <c r="O124">
        <v>4.8022898885333332</v>
      </c>
      <c r="P124">
        <v>0.3069369110416667</v>
      </c>
      <c r="Q124">
        <f t="shared" si="6"/>
        <v>30.693691104166671</v>
      </c>
    </row>
    <row r="125" spans="1:17" ht="15.75" customHeight="1" x14ac:dyDescent="0.15">
      <c r="A125" s="27" t="s">
        <v>62</v>
      </c>
      <c r="B125" s="2" t="s">
        <v>228</v>
      </c>
      <c r="C125" s="17">
        <v>45458</v>
      </c>
      <c r="D125" s="1">
        <v>2024</v>
      </c>
      <c r="E125" s="1" t="s">
        <v>63</v>
      </c>
      <c r="F125" s="1" t="s">
        <v>64</v>
      </c>
      <c r="G125" s="2" t="str">
        <f t="shared" si="5"/>
        <v>56.73870</v>
      </c>
      <c r="H125" s="2" t="str">
        <f t="shared" si="7"/>
        <v>48.41282</v>
      </c>
      <c r="I125" s="1">
        <v>3</v>
      </c>
      <c r="J125" s="5">
        <v>17.7</v>
      </c>
      <c r="K125" s="6">
        <v>6.49</v>
      </c>
      <c r="L125" s="1">
        <v>14</v>
      </c>
      <c r="M125" s="1">
        <v>7</v>
      </c>
      <c r="O125">
        <v>5.5236756442666657</v>
      </c>
      <c r="P125">
        <v>0.52106756036363633</v>
      </c>
      <c r="Q125">
        <f t="shared" si="6"/>
        <v>52.106756036363635</v>
      </c>
    </row>
    <row r="126" spans="1:17" ht="15.75" customHeight="1" x14ac:dyDescent="0.15">
      <c r="A126" s="28" t="s">
        <v>218</v>
      </c>
      <c r="B126" s="2" t="s">
        <v>229</v>
      </c>
      <c r="C126" s="21">
        <v>45550</v>
      </c>
      <c r="D126" s="1">
        <v>2024</v>
      </c>
      <c r="E126" s="26" t="s">
        <v>246</v>
      </c>
      <c r="F126" s="26" t="s">
        <v>246</v>
      </c>
      <c r="G126" s="2" t="str">
        <f t="shared" si="5"/>
        <v>56.77918</v>
      </c>
      <c r="H126" s="2" t="str">
        <f t="shared" si="7"/>
        <v xml:space="preserve">48.8035 </v>
      </c>
      <c r="I126" s="1"/>
      <c r="J126" s="1"/>
      <c r="K126" s="1">
        <v>7.0350000000000001</v>
      </c>
      <c r="L126" s="1">
        <v>32</v>
      </c>
      <c r="M126" s="1"/>
      <c r="N126" s="1"/>
      <c r="O126">
        <v>5.5236756442666657</v>
      </c>
      <c r="P126">
        <v>0.52106756036363633</v>
      </c>
      <c r="Q126">
        <f t="shared" si="6"/>
        <v>52.106756036363635</v>
      </c>
    </row>
    <row r="127" spans="1:17" ht="15.75" customHeight="1" x14ac:dyDescent="0.15">
      <c r="A127" s="28" t="s">
        <v>99</v>
      </c>
      <c r="B127" s="2" t="s">
        <v>228</v>
      </c>
      <c r="C127" s="18">
        <v>45468</v>
      </c>
      <c r="D127" s="2">
        <v>2024</v>
      </c>
      <c r="E127" s="2" t="s">
        <v>100</v>
      </c>
      <c r="F127" s="2" t="s">
        <v>101</v>
      </c>
      <c r="G127" s="2" t="str">
        <f t="shared" si="5"/>
        <v>56.78580</v>
      </c>
      <c r="H127" s="2" t="str">
        <f t="shared" si="7"/>
        <v>48.84623</v>
      </c>
      <c r="I127" s="2">
        <v>1</v>
      </c>
      <c r="J127" s="3">
        <v>15.9</v>
      </c>
      <c r="K127" s="4">
        <v>6.9</v>
      </c>
      <c r="L127" s="2">
        <v>17</v>
      </c>
      <c r="M127" s="2">
        <v>9</v>
      </c>
      <c r="N127" s="2">
        <v>16</v>
      </c>
      <c r="O127">
        <v>5.5236756442666657</v>
      </c>
      <c r="P127">
        <v>0.52106756036363633</v>
      </c>
      <c r="Q127">
        <f t="shared" si="6"/>
        <v>52.106756036363635</v>
      </c>
    </row>
    <row r="128" spans="1:17" ht="15.75" customHeight="1" x14ac:dyDescent="0.15">
      <c r="A128" s="28" t="s">
        <v>99</v>
      </c>
      <c r="B128" s="2" t="s">
        <v>228</v>
      </c>
      <c r="C128" s="18">
        <v>45468</v>
      </c>
      <c r="D128" s="2">
        <v>2024</v>
      </c>
      <c r="E128" s="2" t="s">
        <v>100</v>
      </c>
      <c r="F128" s="2" t="s">
        <v>101</v>
      </c>
      <c r="G128" s="2" t="str">
        <f t="shared" si="5"/>
        <v>56.78580</v>
      </c>
      <c r="H128" s="2" t="str">
        <f t="shared" si="7"/>
        <v>48.84623</v>
      </c>
      <c r="I128" s="2">
        <v>2</v>
      </c>
      <c r="J128" s="3">
        <v>15.8</v>
      </c>
      <c r="K128" s="4">
        <v>6.9</v>
      </c>
      <c r="L128" s="2">
        <v>17</v>
      </c>
      <c r="M128" s="2">
        <v>9</v>
      </c>
      <c r="N128" s="2">
        <v>16</v>
      </c>
      <c r="O128">
        <v>4.9469873982666668</v>
      </c>
      <c r="P128">
        <v>0.42214386460909098</v>
      </c>
      <c r="Q128">
        <f t="shared" si="6"/>
        <v>42.214386460909097</v>
      </c>
    </row>
    <row r="129" spans="1:17" ht="15.75" customHeight="1" x14ac:dyDescent="0.15">
      <c r="A129" s="28" t="s">
        <v>99</v>
      </c>
      <c r="B129" s="2" t="s">
        <v>228</v>
      </c>
      <c r="C129" s="18">
        <v>45468</v>
      </c>
      <c r="D129" s="2">
        <v>2024</v>
      </c>
      <c r="E129" s="2" t="s">
        <v>100</v>
      </c>
      <c r="F129" s="2" t="s">
        <v>101</v>
      </c>
      <c r="G129" s="2" t="str">
        <f t="shared" si="5"/>
        <v>56.78580</v>
      </c>
      <c r="H129" s="2" t="str">
        <f t="shared" si="7"/>
        <v>48.84623</v>
      </c>
      <c r="I129" s="2">
        <v>3</v>
      </c>
      <c r="J129" s="3">
        <v>15.8</v>
      </c>
      <c r="K129" s="4">
        <v>6.88</v>
      </c>
      <c r="L129" s="2">
        <v>17</v>
      </c>
      <c r="M129" s="2">
        <v>9</v>
      </c>
      <c r="N129" s="7"/>
      <c r="O129">
        <v>4.9469873982666668</v>
      </c>
      <c r="P129">
        <v>0.42214386460909098</v>
      </c>
      <c r="Q129">
        <f t="shared" si="6"/>
        <v>42.214386460909097</v>
      </c>
    </row>
    <row r="130" spans="1:17" ht="15.75" customHeight="1" x14ac:dyDescent="0.15">
      <c r="A130" s="27" t="s">
        <v>102</v>
      </c>
      <c r="B130" s="2" t="s">
        <v>228</v>
      </c>
      <c r="C130" s="17">
        <v>45470</v>
      </c>
      <c r="D130" s="1">
        <v>2024</v>
      </c>
      <c r="E130" s="1" t="s">
        <v>103</v>
      </c>
      <c r="F130" s="1" t="s">
        <v>104</v>
      </c>
      <c r="G130" s="2" t="str">
        <f t="shared" si="5"/>
        <v>56.79710</v>
      </c>
      <c r="H130" s="2" t="str">
        <f t="shared" ref="H130:H161" si="8">MID(E130,3,8)</f>
        <v>48.46088</v>
      </c>
      <c r="I130" s="1">
        <v>1</v>
      </c>
      <c r="J130" s="5">
        <v>19.8</v>
      </c>
      <c r="K130" s="6">
        <v>6.9</v>
      </c>
      <c r="L130" s="1">
        <v>14</v>
      </c>
      <c r="M130" s="1">
        <v>7</v>
      </c>
      <c r="N130" s="1">
        <v>16</v>
      </c>
      <c r="O130">
        <v>4.9469873982666668</v>
      </c>
      <c r="P130">
        <v>0.42214386460909098</v>
      </c>
      <c r="Q130">
        <f t="shared" si="6"/>
        <v>42.214386460909097</v>
      </c>
    </row>
    <row r="131" spans="1:17" ht="15.75" customHeight="1" x14ac:dyDescent="0.15">
      <c r="A131" s="27" t="s">
        <v>102</v>
      </c>
      <c r="B131" s="2" t="s">
        <v>228</v>
      </c>
      <c r="C131" s="17">
        <v>45470</v>
      </c>
      <c r="D131" s="1">
        <v>2024</v>
      </c>
      <c r="E131" s="1" t="s">
        <v>103</v>
      </c>
      <c r="F131" s="1" t="s">
        <v>104</v>
      </c>
      <c r="G131" s="2" t="str">
        <f t="shared" ref="G131:G167" si="9">RIGHT(E131,8)</f>
        <v>56.79710</v>
      </c>
      <c r="H131" s="2" t="str">
        <f t="shared" si="8"/>
        <v>48.46088</v>
      </c>
      <c r="I131" s="1">
        <v>2</v>
      </c>
      <c r="J131" s="5">
        <v>19.899999999999999</v>
      </c>
      <c r="K131" s="6">
        <v>6.9</v>
      </c>
      <c r="L131" s="1">
        <v>14</v>
      </c>
      <c r="M131" s="1">
        <v>7</v>
      </c>
      <c r="N131" s="1">
        <v>12</v>
      </c>
      <c r="O131">
        <v>4.1064155396666671</v>
      </c>
      <c r="P131">
        <v>0.29232174494545454</v>
      </c>
      <c r="Q131">
        <f t="shared" ref="Q131:Q167" si="10">P131*100</f>
        <v>29.232174494545454</v>
      </c>
    </row>
    <row r="132" spans="1:17" ht="15.75" customHeight="1" x14ac:dyDescent="0.15">
      <c r="A132" s="27" t="s">
        <v>102</v>
      </c>
      <c r="B132" s="2" t="s">
        <v>228</v>
      </c>
      <c r="C132" s="17">
        <v>45470</v>
      </c>
      <c r="D132" s="1">
        <v>2024</v>
      </c>
      <c r="E132" s="1" t="s">
        <v>103</v>
      </c>
      <c r="F132" s="1" t="s">
        <v>104</v>
      </c>
      <c r="G132" s="2" t="str">
        <f t="shared" si="9"/>
        <v>56.79710</v>
      </c>
      <c r="H132" s="2" t="str">
        <f t="shared" si="8"/>
        <v>48.46088</v>
      </c>
      <c r="I132" s="1">
        <v>3</v>
      </c>
      <c r="J132" s="5">
        <v>20</v>
      </c>
      <c r="K132" s="6">
        <v>6.89</v>
      </c>
      <c r="L132" s="1">
        <v>14</v>
      </c>
      <c r="M132" s="1">
        <v>7</v>
      </c>
      <c r="O132">
        <v>4.1064155396666671</v>
      </c>
      <c r="P132">
        <v>0.29232174494545454</v>
      </c>
      <c r="Q132">
        <f t="shared" si="10"/>
        <v>29.232174494545454</v>
      </c>
    </row>
    <row r="133" spans="1:17" ht="15.75" customHeight="1" x14ac:dyDescent="0.15">
      <c r="A133" s="27" t="s">
        <v>96</v>
      </c>
      <c r="B133" s="2" t="s">
        <v>228</v>
      </c>
      <c r="C133" s="17">
        <v>45468</v>
      </c>
      <c r="D133" s="1">
        <v>2024</v>
      </c>
      <c r="E133" s="1" t="s">
        <v>97</v>
      </c>
      <c r="F133" s="1" t="s">
        <v>98</v>
      </c>
      <c r="G133" s="2" t="str">
        <f t="shared" si="9"/>
        <v>56.82196</v>
      </c>
      <c r="H133" s="2" t="str">
        <f t="shared" si="8"/>
        <v>48.85604</v>
      </c>
      <c r="I133" s="1">
        <v>1</v>
      </c>
      <c r="J133" s="5">
        <v>15.8</v>
      </c>
      <c r="K133" s="6">
        <v>6.83</v>
      </c>
      <c r="L133" s="1">
        <v>17</v>
      </c>
      <c r="M133" s="1">
        <v>9</v>
      </c>
      <c r="N133" s="1">
        <v>28</v>
      </c>
      <c r="O133">
        <v>4.1064155396666671</v>
      </c>
      <c r="P133">
        <v>0.29232174494545454</v>
      </c>
      <c r="Q133">
        <f t="shared" si="10"/>
        <v>29.232174494545454</v>
      </c>
    </row>
    <row r="134" spans="1:17" ht="15.75" customHeight="1" x14ac:dyDescent="0.15">
      <c r="A134" s="27" t="s">
        <v>96</v>
      </c>
      <c r="B134" s="2" t="s">
        <v>228</v>
      </c>
      <c r="C134" s="17">
        <v>45468</v>
      </c>
      <c r="D134" s="1">
        <v>2024</v>
      </c>
      <c r="E134" s="1" t="s">
        <v>97</v>
      </c>
      <c r="F134" s="1" t="s">
        <v>98</v>
      </c>
      <c r="G134" s="2" t="str">
        <f t="shared" si="9"/>
        <v>56.82196</v>
      </c>
      <c r="H134" s="2" t="str">
        <f t="shared" si="8"/>
        <v>48.85604</v>
      </c>
      <c r="I134" s="1">
        <v>2</v>
      </c>
      <c r="J134" s="5">
        <v>15.6</v>
      </c>
      <c r="K134" s="6">
        <v>6.86</v>
      </c>
      <c r="L134" s="1">
        <v>17</v>
      </c>
      <c r="M134" s="1">
        <v>9</v>
      </c>
      <c r="N134" s="1">
        <v>28</v>
      </c>
      <c r="O134">
        <v>8.2024251098571419</v>
      </c>
      <c r="P134">
        <v>0.54587404904166681</v>
      </c>
      <c r="Q134">
        <f t="shared" si="10"/>
        <v>54.587404904166682</v>
      </c>
    </row>
    <row r="135" spans="1:17" ht="15.75" customHeight="1" x14ac:dyDescent="0.15">
      <c r="A135" s="27" t="s">
        <v>96</v>
      </c>
      <c r="B135" s="2" t="s">
        <v>228</v>
      </c>
      <c r="C135" s="17">
        <v>45468</v>
      </c>
      <c r="D135" s="1">
        <v>2024</v>
      </c>
      <c r="E135" s="1" t="s">
        <v>97</v>
      </c>
      <c r="F135" s="1" t="s">
        <v>98</v>
      </c>
      <c r="G135" s="2" t="str">
        <f t="shared" si="9"/>
        <v>56.82196</v>
      </c>
      <c r="H135" s="2" t="str">
        <f t="shared" si="8"/>
        <v>48.85604</v>
      </c>
      <c r="I135" s="1">
        <v>3</v>
      </c>
      <c r="J135" s="5">
        <v>15.6</v>
      </c>
      <c r="K135" s="6">
        <v>6.87</v>
      </c>
      <c r="L135" s="1">
        <v>17</v>
      </c>
      <c r="M135" s="1">
        <v>8</v>
      </c>
      <c r="O135">
        <v>8.2024251098571419</v>
      </c>
      <c r="P135">
        <v>0.54587404904166681</v>
      </c>
      <c r="Q135">
        <f t="shared" si="10"/>
        <v>54.587404904166682</v>
      </c>
    </row>
    <row r="136" spans="1:17" ht="15.75" customHeight="1" x14ac:dyDescent="0.15">
      <c r="A136" s="27" t="s">
        <v>68</v>
      </c>
      <c r="B136" s="2" t="s">
        <v>228</v>
      </c>
      <c r="C136" s="17">
        <v>45460</v>
      </c>
      <c r="D136" s="1">
        <v>2024</v>
      </c>
      <c r="E136" s="1" t="s">
        <v>69</v>
      </c>
      <c r="F136" s="1" t="s">
        <v>70</v>
      </c>
      <c r="G136" s="2" t="str">
        <f t="shared" si="9"/>
        <v>56.86468</v>
      </c>
      <c r="H136" s="2" t="str">
        <f t="shared" si="8"/>
        <v>48.77073</v>
      </c>
      <c r="I136" s="1">
        <v>1</v>
      </c>
      <c r="J136" s="5">
        <v>19.100000000000001</v>
      </c>
      <c r="K136" s="6">
        <v>7.04</v>
      </c>
      <c r="L136" s="1">
        <v>17</v>
      </c>
      <c r="M136" s="1">
        <v>8</v>
      </c>
      <c r="N136" s="1">
        <v>20</v>
      </c>
      <c r="O136">
        <v>8.2024251098571419</v>
      </c>
      <c r="P136">
        <v>0.54587404904166681</v>
      </c>
      <c r="Q136">
        <f t="shared" si="10"/>
        <v>54.587404904166682</v>
      </c>
    </row>
    <row r="137" spans="1:17" ht="15.75" customHeight="1" x14ac:dyDescent="0.15">
      <c r="A137" s="27" t="s">
        <v>68</v>
      </c>
      <c r="B137" s="2" t="s">
        <v>228</v>
      </c>
      <c r="C137" s="17">
        <v>45460</v>
      </c>
      <c r="D137" s="1">
        <v>2024</v>
      </c>
      <c r="E137" s="1" t="s">
        <v>69</v>
      </c>
      <c r="F137" s="1" t="s">
        <v>70</v>
      </c>
      <c r="G137" s="2" t="str">
        <f t="shared" si="9"/>
        <v>56.86468</v>
      </c>
      <c r="H137" s="2" t="str">
        <f t="shared" si="8"/>
        <v>48.77073</v>
      </c>
      <c r="I137" s="1">
        <v>2</v>
      </c>
      <c r="J137" s="5">
        <v>18.899999999999999</v>
      </c>
      <c r="K137" s="6">
        <v>7.05</v>
      </c>
      <c r="L137" s="1">
        <v>17</v>
      </c>
      <c r="M137" s="1">
        <v>8</v>
      </c>
      <c r="N137" s="1">
        <v>14</v>
      </c>
      <c r="O137">
        <v>5.4940331291333324</v>
      </c>
      <c r="P137">
        <v>0.3238780544</v>
      </c>
      <c r="Q137">
        <f t="shared" si="10"/>
        <v>32.387805440000001</v>
      </c>
    </row>
    <row r="138" spans="1:17" ht="15.75" customHeight="1" x14ac:dyDescent="0.15">
      <c r="A138" s="27" t="s">
        <v>68</v>
      </c>
      <c r="B138" s="2" t="s">
        <v>228</v>
      </c>
      <c r="C138" s="17">
        <v>45460</v>
      </c>
      <c r="D138" s="1">
        <v>2024</v>
      </c>
      <c r="E138" s="1" t="s">
        <v>69</v>
      </c>
      <c r="F138" s="1" t="s">
        <v>70</v>
      </c>
      <c r="G138" s="2" t="str">
        <f t="shared" si="9"/>
        <v>56.86468</v>
      </c>
      <c r="H138" s="2" t="str">
        <f t="shared" si="8"/>
        <v>48.77073</v>
      </c>
      <c r="I138" s="1">
        <v>3</v>
      </c>
      <c r="J138" s="5">
        <v>19</v>
      </c>
      <c r="K138" s="6">
        <v>7.06</v>
      </c>
      <c r="L138" s="1">
        <v>17</v>
      </c>
      <c r="M138" s="1">
        <v>8</v>
      </c>
      <c r="O138">
        <v>5.4940331291333324</v>
      </c>
      <c r="P138">
        <v>0.3238780544</v>
      </c>
      <c r="Q138">
        <f t="shared" si="10"/>
        <v>32.387805440000001</v>
      </c>
    </row>
    <row r="139" spans="1:17" ht="15.75" customHeight="1" x14ac:dyDescent="0.15">
      <c r="A139" s="28" t="s">
        <v>41</v>
      </c>
      <c r="B139" s="2" t="s">
        <v>228</v>
      </c>
      <c r="C139" s="18">
        <v>45454</v>
      </c>
      <c r="D139" s="2">
        <v>2024</v>
      </c>
      <c r="E139" s="2" t="s">
        <v>42</v>
      </c>
      <c r="F139" s="2" t="s">
        <v>43</v>
      </c>
      <c r="G139" s="2" t="str">
        <f t="shared" si="9"/>
        <v>56.87863</v>
      </c>
      <c r="H139" s="2" t="str">
        <f t="shared" si="8"/>
        <v>48.68567</v>
      </c>
      <c r="I139" s="2">
        <v>1</v>
      </c>
      <c r="J139" s="3">
        <v>16.2</v>
      </c>
      <c r="K139" s="4">
        <v>7.29</v>
      </c>
      <c r="L139" s="2">
        <v>30</v>
      </c>
      <c r="M139" s="2">
        <v>15</v>
      </c>
      <c r="N139" s="2">
        <v>24</v>
      </c>
      <c r="O139">
        <v>5.4940331291333324</v>
      </c>
      <c r="P139">
        <v>0.3238780544</v>
      </c>
      <c r="Q139">
        <f t="shared" si="10"/>
        <v>32.387805440000001</v>
      </c>
    </row>
    <row r="140" spans="1:17" ht="15.75" customHeight="1" x14ac:dyDescent="0.15">
      <c r="A140" s="28" t="s">
        <v>41</v>
      </c>
      <c r="B140" s="2" t="s">
        <v>228</v>
      </c>
      <c r="C140" s="18">
        <v>45454</v>
      </c>
      <c r="D140" s="2">
        <v>2024</v>
      </c>
      <c r="E140" s="2" t="s">
        <v>42</v>
      </c>
      <c r="F140" s="2" t="s">
        <v>43</v>
      </c>
      <c r="G140" s="2" t="str">
        <f t="shared" si="9"/>
        <v>56.87863</v>
      </c>
      <c r="H140" s="2" t="str">
        <f t="shared" si="8"/>
        <v>48.68567</v>
      </c>
      <c r="I140" s="2">
        <v>2</v>
      </c>
      <c r="J140" s="3">
        <v>16.2</v>
      </c>
      <c r="K140" s="4">
        <v>7.3</v>
      </c>
      <c r="L140" s="2">
        <v>30</v>
      </c>
      <c r="M140" s="2">
        <v>15</v>
      </c>
      <c r="N140" s="2">
        <v>20</v>
      </c>
      <c r="O140">
        <v>4.1537835125000004</v>
      </c>
      <c r="P140">
        <v>0.22467287998333332</v>
      </c>
      <c r="Q140">
        <f t="shared" si="10"/>
        <v>22.467287998333333</v>
      </c>
    </row>
    <row r="141" spans="1:17" ht="15.75" customHeight="1" x14ac:dyDescent="0.15">
      <c r="A141" s="28" t="s">
        <v>41</v>
      </c>
      <c r="B141" s="2" t="s">
        <v>228</v>
      </c>
      <c r="C141" s="18">
        <v>45454</v>
      </c>
      <c r="D141" s="2">
        <v>2024</v>
      </c>
      <c r="E141" s="2" t="s">
        <v>42</v>
      </c>
      <c r="F141" s="2" t="s">
        <v>43</v>
      </c>
      <c r="G141" s="2" t="str">
        <f t="shared" si="9"/>
        <v>56.87863</v>
      </c>
      <c r="H141" s="2" t="str">
        <f t="shared" si="8"/>
        <v>48.68567</v>
      </c>
      <c r="I141" s="2">
        <v>3</v>
      </c>
      <c r="J141" s="3">
        <v>16.100000000000001</v>
      </c>
      <c r="K141" s="4">
        <v>7.3</v>
      </c>
      <c r="L141" s="2">
        <v>29</v>
      </c>
      <c r="M141" s="2">
        <v>15</v>
      </c>
      <c r="N141" s="2">
        <v>24</v>
      </c>
      <c r="O141">
        <v>4.1537835125000004</v>
      </c>
      <c r="P141">
        <v>0.22467287998333332</v>
      </c>
      <c r="Q141">
        <f t="shared" si="10"/>
        <v>22.467287998333333</v>
      </c>
    </row>
    <row r="142" spans="1:17" ht="15.75" customHeight="1" x14ac:dyDescent="0.15">
      <c r="A142" s="27" t="s">
        <v>134</v>
      </c>
      <c r="B142" s="2" t="s">
        <v>228</v>
      </c>
      <c r="C142" s="19">
        <v>45835</v>
      </c>
      <c r="D142" s="1">
        <v>2025</v>
      </c>
      <c r="E142" s="1" t="s">
        <v>263</v>
      </c>
      <c r="F142" s="1" t="s">
        <v>241</v>
      </c>
      <c r="G142" s="2" t="str">
        <f t="shared" si="9"/>
        <v>56.91361</v>
      </c>
      <c r="H142" s="2" t="str">
        <f t="shared" si="8"/>
        <v>48.64014</v>
      </c>
      <c r="I142" s="8">
        <v>1</v>
      </c>
      <c r="J142" s="9">
        <v>17.399999999999999</v>
      </c>
      <c r="K142" s="10">
        <v>7.13</v>
      </c>
      <c r="L142" s="8">
        <v>35</v>
      </c>
      <c r="M142" s="8">
        <v>17</v>
      </c>
      <c r="N142" s="8">
        <v>24</v>
      </c>
      <c r="O142">
        <v>4.1537835125000004</v>
      </c>
      <c r="P142">
        <v>0.22467287998333332</v>
      </c>
      <c r="Q142">
        <f t="shared" si="10"/>
        <v>22.467287998333333</v>
      </c>
    </row>
    <row r="143" spans="1:17" ht="15.75" customHeight="1" x14ac:dyDescent="0.15">
      <c r="A143" s="27" t="s">
        <v>134</v>
      </c>
      <c r="B143" s="2" t="s">
        <v>228</v>
      </c>
      <c r="C143" s="19">
        <v>45835</v>
      </c>
      <c r="D143" s="1">
        <v>2025</v>
      </c>
      <c r="E143" s="1" t="s">
        <v>264</v>
      </c>
      <c r="F143" s="1" t="s">
        <v>241</v>
      </c>
      <c r="G143" s="2" t="str">
        <f t="shared" si="9"/>
        <v>56.91361</v>
      </c>
      <c r="H143" s="2" t="str">
        <f t="shared" si="8"/>
        <v>48.64014</v>
      </c>
      <c r="I143" s="8">
        <v>2</v>
      </c>
      <c r="J143" s="9">
        <v>17.399999999999999</v>
      </c>
      <c r="K143" s="10">
        <v>7.18</v>
      </c>
      <c r="L143" s="8">
        <v>33</v>
      </c>
      <c r="M143" s="8">
        <v>16</v>
      </c>
      <c r="N143" s="8">
        <v>24</v>
      </c>
      <c r="O143">
        <v>3.3600619440666666</v>
      </c>
      <c r="P143">
        <v>0.25362220578181816</v>
      </c>
      <c r="Q143">
        <f t="shared" si="10"/>
        <v>25.362220578181816</v>
      </c>
    </row>
    <row r="144" spans="1:17" ht="15.75" customHeight="1" x14ac:dyDescent="0.15">
      <c r="A144" s="27" t="s">
        <v>134</v>
      </c>
      <c r="B144" s="2" t="s">
        <v>228</v>
      </c>
      <c r="C144" s="19">
        <v>45835</v>
      </c>
      <c r="D144" s="1">
        <v>2025</v>
      </c>
      <c r="E144" s="1" t="s">
        <v>264</v>
      </c>
      <c r="F144" s="1" t="s">
        <v>241</v>
      </c>
      <c r="G144" s="2" t="str">
        <f t="shared" si="9"/>
        <v>56.91361</v>
      </c>
      <c r="H144" s="2" t="str">
        <f t="shared" si="8"/>
        <v>48.64014</v>
      </c>
      <c r="I144" s="8">
        <v>3</v>
      </c>
      <c r="J144" s="9">
        <v>17.3</v>
      </c>
      <c r="K144" s="10">
        <v>7.15</v>
      </c>
      <c r="L144" s="8">
        <v>33</v>
      </c>
      <c r="M144" s="8">
        <v>16</v>
      </c>
      <c r="N144" s="8">
        <v>24</v>
      </c>
      <c r="O144">
        <v>3.3600619440666666</v>
      </c>
      <c r="P144">
        <v>0.25362220578181816</v>
      </c>
      <c r="Q144">
        <f t="shared" si="10"/>
        <v>25.362220578181816</v>
      </c>
    </row>
    <row r="145" spans="1:17" ht="15.75" customHeight="1" x14ac:dyDescent="0.15">
      <c r="A145" s="27" t="s">
        <v>108</v>
      </c>
      <c r="B145" s="2" t="s">
        <v>228</v>
      </c>
      <c r="C145" s="17">
        <v>45472</v>
      </c>
      <c r="D145" s="1">
        <v>2024</v>
      </c>
      <c r="E145" s="1" t="s">
        <v>109</v>
      </c>
      <c r="F145" s="1" t="s">
        <v>110</v>
      </c>
      <c r="G145" s="2" t="str">
        <f t="shared" si="9"/>
        <v>56.92947</v>
      </c>
      <c r="H145" s="2" t="str">
        <f t="shared" si="8"/>
        <v>48.73885</v>
      </c>
      <c r="I145" s="1">
        <v>1</v>
      </c>
      <c r="J145" s="5">
        <v>20.7</v>
      </c>
      <c r="K145" s="6">
        <v>7.27</v>
      </c>
      <c r="L145" s="1">
        <v>29</v>
      </c>
      <c r="M145" s="1">
        <v>14</v>
      </c>
      <c r="N145" s="1">
        <v>20</v>
      </c>
      <c r="O145">
        <v>3.3600619440666666</v>
      </c>
      <c r="P145">
        <v>0.25362220578181816</v>
      </c>
      <c r="Q145">
        <f t="shared" si="10"/>
        <v>25.362220578181816</v>
      </c>
    </row>
    <row r="146" spans="1:17" ht="15.75" customHeight="1" x14ac:dyDescent="0.15">
      <c r="A146" s="27" t="s">
        <v>108</v>
      </c>
      <c r="B146" s="2" t="s">
        <v>228</v>
      </c>
      <c r="C146" s="17">
        <v>45472</v>
      </c>
      <c r="D146" s="1">
        <v>2024</v>
      </c>
      <c r="E146" s="1" t="s">
        <v>109</v>
      </c>
      <c r="F146" s="1" t="s">
        <v>110</v>
      </c>
      <c r="G146" s="2" t="str">
        <f t="shared" si="9"/>
        <v>56.92947</v>
      </c>
      <c r="H146" s="2" t="str">
        <f t="shared" si="8"/>
        <v>48.73885</v>
      </c>
      <c r="I146" s="1">
        <v>2</v>
      </c>
      <c r="J146" s="5">
        <v>20.6</v>
      </c>
      <c r="K146" s="6">
        <v>7.34</v>
      </c>
      <c r="L146" s="1">
        <v>28</v>
      </c>
      <c r="M146" s="1">
        <v>14</v>
      </c>
      <c r="N146" s="1">
        <v>20</v>
      </c>
      <c r="O146">
        <v>4.4477030789333343</v>
      </c>
      <c r="P146">
        <v>0.20616093449090914</v>
      </c>
      <c r="Q146">
        <f t="shared" si="10"/>
        <v>20.616093449090915</v>
      </c>
    </row>
    <row r="147" spans="1:17" ht="15.75" customHeight="1" x14ac:dyDescent="0.15">
      <c r="A147" s="27" t="s">
        <v>108</v>
      </c>
      <c r="B147" s="2" t="s">
        <v>228</v>
      </c>
      <c r="C147" s="17">
        <v>45472</v>
      </c>
      <c r="D147" s="1">
        <v>2024</v>
      </c>
      <c r="E147" s="1" t="s">
        <v>109</v>
      </c>
      <c r="F147" s="1" t="s">
        <v>110</v>
      </c>
      <c r="G147" s="2" t="str">
        <f t="shared" si="9"/>
        <v>56.92947</v>
      </c>
      <c r="H147" s="2" t="str">
        <f t="shared" si="8"/>
        <v>48.73885</v>
      </c>
      <c r="I147" s="1">
        <v>3</v>
      </c>
      <c r="J147" s="5">
        <v>20.399999999999999</v>
      </c>
      <c r="K147" s="6">
        <v>7.35</v>
      </c>
      <c r="L147" s="1">
        <v>28</v>
      </c>
      <c r="M147" s="1">
        <v>14</v>
      </c>
      <c r="O147">
        <v>4.4477030789333343</v>
      </c>
      <c r="P147">
        <v>0.20616093449090914</v>
      </c>
      <c r="Q147">
        <f t="shared" si="10"/>
        <v>20.616093449090915</v>
      </c>
    </row>
    <row r="148" spans="1:17" ht="15.75" customHeight="1" x14ac:dyDescent="0.15">
      <c r="A148" s="28" t="s">
        <v>133</v>
      </c>
      <c r="B148" s="2" t="s">
        <v>228</v>
      </c>
      <c r="C148" s="20">
        <v>45834</v>
      </c>
      <c r="D148" s="2">
        <v>2025</v>
      </c>
      <c r="E148" s="2" t="s">
        <v>262</v>
      </c>
      <c r="F148" s="2" t="s">
        <v>240</v>
      </c>
      <c r="G148" s="2" t="str">
        <f t="shared" si="9"/>
        <v>56.95130</v>
      </c>
      <c r="H148" s="2" t="str">
        <f t="shared" si="8"/>
        <v>48.68256</v>
      </c>
      <c r="I148" s="11">
        <v>1</v>
      </c>
      <c r="J148" s="12">
        <v>13.7</v>
      </c>
      <c r="K148" s="13">
        <v>6.92</v>
      </c>
      <c r="L148" s="11">
        <v>25</v>
      </c>
      <c r="M148" s="11">
        <v>12</v>
      </c>
      <c r="N148" s="11">
        <v>28</v>
      </c>
      <c r="O148">
        <v>4.4477030789333343</v>
      </c>
      <c r="P148">
        <v>0.20616093449090914</v>
      </c>
      <c r="Q148">
        <f t="shared" si="10"/>
        <v>20.616093449090915</v>
      </c>
    </row>
    <row r="149" spans="1:17" ht="15.75" customHeight="1" x14ac:dyDescent="0.15">
      <c r="A149" s="28" t="s">
        <v>133</v>
      </c>
      <c r="B149" s="2" t="s">
        <v>228</v>
      </c>
      <c r="C149" s="20">
        <v>45834</v>
      </c>
      <c r="D149" s="2">
        <v>2025</v>
      </c>
      <c r="E149" s="2" t="s">
        <v>262</v>
      </c>
      <c r="F149" s="2" t="s">
        <v>240</v>
      </c>
      <c r="G149" s="2" t="str">
        <f t="shared" si="9"/>
        <v>56.95130</v>
      </c>
      <c r="H149" s="2" t="str">
        <f t="shared" si="8"/>
        <v>48.68256</v>
      </c>
      <c r="I149" s="11">
        <v>2</v>
      </c>
      <c r="J149" s="12">
        <v>13.7</v>
      </c>
      <c r="K149" s="13">
        <v>6.96</v>
      </c>
      <c r="L149" s="11">
        <v>24</v>
      </c>
      <c r="M149" s="11">
        <v>12</v>
      </c>
      <c r="N149" s="11">
        <v>28</v>
      </c>
      <c r="O149">
        <v>4.8881372214666658</v>
      </c>
      <c r="P149">
        <v>0.28279279456666667</v>
      </c>
      <c r="Q149">
        <f t="shared" si="10"/>
        <v>28.279279456666668</v>
      </c>
    </row>
    <row r="150" spans="1:17" ht="15.75" customHeight="1" x14ac:dyDescent="0.15">
      <c r="A150" s="28" t="s">
        <v>133</v>
      </c>
      <c r="B150" s="2" t="s">
        <v>228</v>
      </c>
      <c r="C150" s="20">
        <v>45834</v>
      </c>
      <c r="D150" s="2">
        <v>2025</v>
      </c>
      <c r="E150" s="2" t="s">
        <v>262</v>
      </c>
      <c r="F150" s="2" t="s">
        <v>240</v>
      </c>
      <c r="G150" s="2" t="str">
        <f t="shared" si="9"/>
        <v>56.95130</v>
      </c>
      <c r="H150" s="2" t="str">
        <f t="shared" si="8"/>
        <v>48.68256</v>
      </c>
      <c r="I150" s="11">
        <v>3</v>
      </c>
      <c r="J150" s="12">
        <v>13.8</v>
      </c>
      <c r="K150" s="13">
        <v>7.01</v>
      </c>
      <c r="L150" s="11">
        <v>25</v>
      </c>
      <c r="M150" s="11">
        <v>13</v>
      </c>
      <c r="N150" s="11">
        <v>28</v>
      </c>
      <c r="O150">
        <v>4.8881372214666658</v>
      </c>
      <c r="P150">
        <v>0.28279279456666667</v>
      </c>
      <c r="Q150">
        <f t="shared" si="10"/>
        <v>28.279279456666668</v>
      </c>
    </row>
    <row r="151" spans="1:17" ht="15.75" customHeight="1" x14ac:dyDescent="0.15">
      <c r="A151" s="28" t="s">
        <v>82</v>
      </c>
      <c r="B151" s="2" t="s">
        <v>228</v>
      </c>
      <c r="C151" s="18">
        <v>45464</v>
      </c>
      <c r="D151" s="2">
        <v>2024</v>
      </c>
      <c r="E151" s="2" t="s">
        <v>83</v>
      </c>
      <c r="F151" s="2" t="s">
        <v>84</v>
      </c>
      <c r="G151" s="2" t="str">
        <f t="shared" si="9"/>
        <v>57.07986</v>
      </c>
      <c r="H151" s="2" t="str">
        <f t="shared" si="8"/>
        <v>48.42519</v>
      </c>
      <c r="I151" s="2">
        <v>1</v>
      </c>
      <c r="J151" s="3">
        <v>22.8</v>
      </c>
      <c r="K151" s="4">
        <v>7.16</v>
      </c>
      <c r="L151" s="2">
        <v>20</v>
      </c>
      <c r="M151" s="2">
        <v>10</v>
      </c>
      <c r="N151" s="2">
        <v>20</v>
      </c>
      <c r="O151">
        <v>4.8881372214666658</v>
      </c>
      <c r="P151">
        <v>0.28279279456666667</v>
      </c>
      <c r="Q151">
        <f t="shared" si="10"/>
        <v>28.279279456666668</v>
      </c>
    </row>
    <row r="152" spans="1:17" ht="15.75" customHeight="1" x14ac:dyDescent="0.15">
      <c r="A152" s="28" t="s">
        <v>82</v>
      </c>
      <c r="B152" s="2" t="s">
        <v>228</v>
      </c>
      <c r="C152" s="18">
        <v>45464</v>
      </c>
      <c r="D152" s="2">
        <v>2024</v>
      </c>
      <c r="E152" s="2" t="s">
        <v>83</v>
      </c>
      <c r="F152" s="2" t="s">
        <v>84</v>
      </c>
      <c r="G152" s="2" t="str">
        <f t="shared" si="9"/>
        <v>57.07986</v>
      </c>
      <c r="H152" s="2" t="str">
        <f t="shared" si="8"/>
        <v>48.42519</v>
      </c>
      <c r="I152" s="2">
        <v>2</v>
      </c>
      <c r="J152" s="3">
        <v>22.8</v>
      </c>
      <c r="K152" s="4">
        <v>7.17</v>
      </c>
      <c r="L152" s="2">
        <v>20</v>
      </c>
      <c r="M152" s="2">
        <v>10</v>
      </c>
      <c r="N152" s="2">
        <v>20</v>
      </c>
      <c r="O152">
        <v>5.2851403684166671</v>
      </c>
      <c r="P152">
        <v>0.36068357055384609</v>
      </c>
      <c r="Q152">
        <f t="shared" si="10"/>
        <v>36.06835705538461</v>
      </c>
    </row>
    <row r="153" spans="1:17" ht="15.75" customHeight="1" x14ac:dyDescent="0.15">
      <c r="A153" s="28" t="s">
        <v>82</v>
      </c>
      <c r="B153" s="2" t="s">
        <v>228</v>
      </c>
      <c r="C153" s="18">
        <v>45464</v>
      </c>
      <c r="D153" s="2">
        <v>2024</v>
      </c>
      <c r="E153" s="2" t="s">
        <v>83</v>
      </c>
      <c r="F153" s="2" t="s">
        <v>84</v>
      </c>
      <c r="G153" s="2" t="str">
        <f t="shared" si="9"/>
        <v>57.07986</v>
      </c>
      <c r="H153" s="2" t="str">
        <f t="shared" si="8"/>
        <v>48.42519</v>
      </c>
      <c r="I153" s="2">
        <v>3</v>
      </c>
      <c r="J153" s="3">
        <v>22.8</v>
      </c>
      <c r="K153" s="4">
        <v>7.17</v>
      </c>
      <c r="L153" s="2">
        <v>20</v>
      </c>
      <c r="M153" s="2">
        <v>10</v>
      </c>
      <c r="N153" s="7"/>
      <c r="O153">
        <v>5.2851403684166671</v>
      </c>
      <c r="P153">
        <v>0.36068357055384609</v>
      </c>
      <c r="Q153">
        <f t="shared" si="10"/>
        <v>36.06835705538461</v>
      </c>
    </row>
    <row r="154" spans="1:17" ht="15.75" customHeight="1" x14ac:dyDescent="0.15">
      <c r="A154" s="28" t="s">
        <v>226</v>
      </c>
      <c r="B154" s="2" t="s">
        <v>229</v>
      </c>
      <c r="C154" s="21">
        <v>45550</v>
      </c>
      <c r="D154" s="1">
        <v>2024</v>
      </c>
      <c r="E154" s="26" t="s">
        <v>253</v>
      </c>
      <c r="F154" s="26" t="s">
        <v>253</v>
      </c>
      <c r="G154" s="2" t="str">
        <f t="shared" si="9"/>
        <v>57.09695</v>
      </c>
      <c r="H154" s="2" t="str">
        <f t="shared" si="8"/>
        <v xml:space="preserve">48.6271 </v>
      </c>
      <c r="I154" s="1"/>
      <c r="J154" s="1"/>
      <c r="K154" s="1">
        <v>7.1449999999999996</v>
      </c>
      <c r="L154" s="1">
        <v>33.25</v>
      </c>
      <c r="M154" s="1"/>
      <c r="N154" s="1"/>
      <c r="O154">
        <v>5.2851403684166671</v>
      </c>
      <c r="P154">
        <v>0.36068357055384609</v>
      </c>
      <c r="Q154">
        <f t="shared" si="10"/>
        <v>36.06835705538461</v>
      </c>
    </row>
    <row r="155" spans="1:17" ht="15.75" customHeight="1" x14ac:dyDescent="0.15">
      <c r="A155" s="28" t="s">
        <v>65</v>
      </c>
      <c r="B155" s="2" t="s">
        <v>228</v>
      </c>
      <c r="C155" s="18">
        <v>45460</v>
      </c>
      <c r="D155" s="2">
        <v>2024</v>
      </c>
      <c r="E155" s="2" t="s">
        <v>66</v>
      </c>
      <c r="F155" s="2" t="s">
        <v>67</v>
      </c>
      <c r="G155" s="2" t="str">
        <f t="shared" si="9"/>
        <v>57.12020</v>
      </c>
      <c r="H155" s="2" t="str">
        <f t="shared" si="8"/>
        <v>48.55573</v>
      </c>
      <c r="I155" s="2">
        <v>1</v>
      </c>
      <c r="J155" s="3">
        <v>16</v>
      </c>
      <c r="K155" s="4">
        <v>6.97</v>
      </c>
      <c r="L155" s="2">
        <v>25</v>
      </c>
      <c r="M155" s="2">
        <v>12</v>
      </c>
      <c r="N155" s="2">
        <v>28</v>
      </c>
      <c r="O155">
        <v>6.1325999963571434</v>
      </c>
      <c r="P155">
        <v>0.35329257564166666</v>
      </c>
      <c r="Q155">
        <f t="shared" si="10"/>
        <v>35.329257564166667</v>
      </c>
    </row>
    <row r="156" spans="1:17" ht="15.75" customHeight="1" x14ac:dyDescent="0.15">
      <c r="A156" s="28" t="s">
        <v>65</v>
      </c>
      <c r="B156" s="2" t="s">
        <v>228</v>
      </c>
      <c r="C156" s="18">
        <v>45460</v>
      </c>
      <c r="D156" s="2">
        <v>2024</v>
      </c>
      <c r="E156" s="2" t="s">
        <v>66</v>
      </c>
      <c r="F156" s="2" t="s">
        <v>67</v>
      </c>
      <c r="G156" s="2" t="str">
        <f t="shared" si="9"/>
        <v>57.12020</v>
      </c>
      <c r="H156" s="2" t="str">
        <f t="shared" si="8"/>
        <v>48.55573</v>
      </c>
      <c r="I156" s="2">
        <v>2</v>
      </c>
      <c r="J156" s="3">
        <v>15.8</v>
      </c>
      <c r="K156" s="4">
        <v>7</v>
      </c>
      <c r="L156" s="2">
        <v>25</v>
      </c>
      <c r="M156" s="2">
        <v>12</v>
      </c>
      <c r="N156" s="2">
        <v>28</v>
      </c>
      <c r="O156">
        <v>6.1325999963571434</v>
      </c>
      <c r="P156">
        <v>0.35329257564166666</v>
      </c>
      <c r="Q156">
        <f t="shared" si="10"/>
        <v>35.329257564166667</v>
      </c>
    </row>
    <row r="157" spans="1:17" ht="15.75" customHeight="1" x14ac:dyDescent="0.15">
      <c r="A157" s="28" t="s">
        <v>65</v>
      </c>
      <c r="B157" s="2" t="s">
        <v>228</v>
      </c>
      <c r="C157" s="18">
        <v>45460</v>
      </c>
      <c r="D157" s="2">
        <v>2024</v>
      </c>
      <c r="E157" s="2" t="s">
        <v>66</v>
      </c>
      <c r="F157" s="2" t="s">
        <v>67</v>
      </c>
      <c r="G157" s="2" t="str">
        <f t="shared" si="9"/>
        <v>57.12020</v>
      </c>
      <c r="H157" s="2" t="str">
        <f t="shared" si="8"/>
        <v>48.55573</v>
      </c>
      <c r="I157" s="2">
        <v>3</v>
      </c>
      <c r="J157" s="3">
        <v>15.8</v>
      </c>
      <c r="K157" s="4">
        <v>7.01</v>
      </c>
      <c r="L157" s="2">
        <v>24</v>
      </c>
      <c r="M157" s="2">
        <v>12</v>
      </c>
      <c r="N157" s="7"/>
      <c r="O157">
        <v>6.1325999963571434</v>
      </c>
      <c r="P157">
        <v>0.35329257564166666</v>
      </c>
      <c r="Q157">
        <f t="shared" si="10"/>
        <v>35.329257564166667</v>
      </c>
    </row>
    <row r="158" spans="1:17" ht="15.75" customHeight="1" x14ac:dyDescent="0.15">
      <c r="A158" s="28" t="s">
        <v>93</v>
      </c>
      <c r="B158" s="2" t="s">
        <v>228</v>
      </c>
      <c r="C158" s="18">
        <v>45466</v>
      </c>
      <c r="D158" s="2">
        <v>2024</v>
      </c>
      <c r="E158" s="2" t="s">
        <v>94</v>
      </c>
      <c r="F158" s="2" t="s">
        <v>95</v>
      </c>
      <c r="G158" s="2" t="str">
        <f t="shared" si="9"/>
        <v>57.17826</v>
      </c>
      <c r="H158" s="2" t="str">
        <f t="shared" si="8"/>
        <v>48.54182</v>
      </c>
      <c r="I158" s="2">
        <v>1</v>
      </c>
      <c r="J158" s="3">
        <v>15.8</v>
      </c>
      <c r="K158" s="4">
        <v>7.47</v>
      </c>
      <c r="L158" s="2">
        <v>41</v>
      </c>
      <c r="M158" s="2">
        <v>20</v>
      </c>
      <c r="N158" s="2">
        <v>36</v>
      </c>
      <c r="O158">
        <v>2.4033029227499996</v>
      </c>
      <c r="P158">
        <v>0.12367252446000002</v>
      </c>
      <c r="Q158">
        <f t="shared" si="10"/>
        <v>12.367252446000002</v>
      </c>
    </row>
    <row r="159" spans="1:17" ht="15.75" customHeight="1" x14ac:dyDescent="0.15">
      <c r="A159" s="28" t="s">
        <v>93</v>
      </c>
      <c r="B159" s="2" t="s">
        <v>228</v>
      </c>
      <c r="C159" s="18">
        <v>45466</v>
      </c>
      <c r="D159" s="2">
        <v>2024</v>
      </c>
      <c r="E159" s="2" t="s">
        <v>94</v>
      </c>
      <c r="F159" s="2" t="s">
        <v>95</v>
      </c>
      <c r="G159" s="2" t="str">
        <f t="shared" si="9"/>
        <v>57.17826</v>
      </c>
      <c r="H159" s="2" t="str">
        <f t="shared" si="8"/>
        <v>48.54182</v>
      </c>
      <c r="I159" s="2">
        <v>2</v>
      </c>
      <c r="J159" s="3">
        <v>15.7</v>
      </c>
      <c r="K159" s="4">
        <v>7.47</v>
      </c>
      <c r="L159" s="2">
        <v>41</v>
      </c>
      <c r="M159" s="2">
        <v>20</v>
      </c>
      <c r="N159" s="2">
        <v>36</v>
      </c>
      <c r="O159">
        <v>3.5423283433636357</v>
      </c>
      <c r="P159">
        <v>0.23352307900833336</v>
      </c>
      <c r="Q159">
        <f t="shared" si="10"/>
        <v>23.352307900833335</v>
      </c>
    </row>
    <row r="160" spans="1:17" ht="15.75" customHeight="1" x14ac:dyDescent="0.15">
      <c r="A160" s="28" t="s">
        <v>93</v>
      </c>
      <c r="B160" s="2" t="s">
        <v>228</v>
      </c>
      <c r="C160" s="18">
        <v>45466</v>
      </c>
      <c r="D160" s="2">
        <v>2024</v>
      </c>
      <c r="E160" s="2" t="s">
        <v>94</v>
      </c>
      <c r="F160" s="2" t="s">
        <v>95</v>
      </c>
      <c r="G160" s="2" t="str">
        <f t="shared" si="9"/>
        <v>57.17826</v>
      </c>
      <c r="H160" s="2" t="str">
        <f t="shared" si="8"/>
        <v>48.54182</v>
      </c>
      <c r="I160" s="2">
        <v>3</v>
      </c>
      <c r="J160" s="3">
        <v>15.6</v>
      </c>
      <c r="K160" s="4">
        <v>7.47</v>
      </c>
      <c r="L160" s="2">
        <v>41</v>
      </c>
      <c r="M160" s="2">
        <v>20</v>
      </c>
      <c r="N160" s="7"/>
      <c r="O160">
        <v>4.6111702171999998</v>
      </c>
      <c r="P160">
        <v>0.21761462299090911</v>
      </c>
      <c r="Q160">
        <f t="shared" si="10"/>
        <v>21.761462299090912</v>
      </c>
    </row>
    <row r="161" spans="1:17" ht="15.75" customHeight="1" x14ac:dyDescent="0.15">
      <c r="A161" s="28" t="s">
        <v>222</v>
      </c>
      <c r="B161" s="2" t="s">
        <v>229</v>
      </c>
      <c r="C161" s="21">
        <v>45550</v>
      </c>
      <c r="D161" s="1">
        <v>2024</v>
      </c>
      <c r="E161" s="26" t="s">
        <v>249</v>
      </c>
      <c r="F161" s="26" t="s">
        <v>249</v>
      </c>
      <c r="G161" s="2" t="str">
        <f t="shared" si="9"/>
        <v>57.23600</v>
      </c>
      <c r="H161" s="2" t="str">
        <f t="shared" si="8"/>
        <v xml:space="preserve">48.5378 </v>
      </c>
      <c r="I161" s="1"/>
      <c r="J161" s="1"/>
      <c r="K161" s="1">
        <v>7.1349999999999998</v>
      </c>
      <c r="L161" s="1">
        <v>32.25</v>
      </c>
      <c r="M161" s="1"/>
      <c r="N161" s="1"/>
      <c r="O161">
        <v>4.6429985142000003</v>
      </c>
      <c r="P161">
        <v>0.37149870673000002</v>
      </c>
      <c r="Q161">
        <f t="shared" si="10"/>
        <v>37.149870673000002</v>
      </c>
    </row>
    <row r="162" spans="1:17" ht="15.75" customHeight="1" x14ac:dyDescent="0.15">
      <c r="A162" s="27" t="s">
        <v>90</v>
      </c>
      <c r="B162" s="2" t="s">
        <v>228</v>
      </c>
      <c r="C162" s="17">
        <v>45465</v>
      </c>
      <c r="D162" s="1">
        <v>2024</v>
      </c>
      <c r="E162" s="1" t="s">
        <v>91</v>
      </c>
      <c r="F162" s="1" t="s">
        <v>92</v>
      </c>
      <c r="G162" s="2" t="str">
        <f t="shared" si="9"/>
        <v>57.43190</v>
      </c>
      <c r="H162" s="2" t="str">
        <f t="shared" ref="H162:H167" si="11">MID(E162,3,8)</f>
        <v>48.46025</v>
      </c>
      <c r="I162" s="1">
        <v>1</v>
      </c>
      <c r="J162" s="5">
        <v>19.399999999999999</v>
      </c>
      <c r="K162" s="6">
        <v>6.95</v>
      </c>
      <c r="L162" s="1">
        <v>22</v>
      </c>
      <c r="M162" s="1">
        <v>11</v>
      </c>
      <c r="N162" s="1">
        <v>20</v>
      </c>
      <c r="O162">
        <v>3.020719327636364</v>
      </c>
      <c r="P162">
        <v>0.11614152184545454</v>
      </c>
      <c r="Q162">
        <f t="shared" si="10"/>
        <v>11.614152184545453</v>
      </c>
    </row>
    <row r="163" spans="1:17" ht="15.75" customHeight="1" x14ac:dyDescent="0.15">
      <c r="A163" s="27" t="s">
        <v>90</v>
      </c>
      <c r="B163" s="2" t="s">
        <v>228</v>
      </c>
      <c r="C163" s="17">
        <v>45465</v>
      </c>
      <c r="D163" s="1">
        <v>2024</v>
      </c>
      <c r="E163" s="1" t="s">
        <v>91</v>
      </c>
      <c r="F163" s="1" t="s">
        <v>92</v>
      </c>
      <c r="G163" s="2" t="str">
        <f t="shared" si="9"/>
        <v>57.43190</v>
      </c>
      <c r="H163" s="2" t="str">
        <f t="shared" si="11"/>
        <v>48.46025</v>
      </c>
      <c r="I163" s="1">
        <v>2</v>
      </c>
      <c r="J163" s="5">
        <v>19.3</v>
      </c>
      <c r="K163" s="6">
        <v>6.9</v>
      </c>
      <c r="L163" s="1">
        <v>22</v>
      </c>
      <c r="M163" s="1">
        <v>11</v>
      </c>
      <c r="N163" s="1">
        <v>24</v>
      </c>
      <c r="O163">
        <v>2.4770056730000003</v>
      </c>
      <c r="P163">
        <v>0.14240795660909092</v>
      </c>
      <c r="Q163">
        <f t="shared" si="10"/>
        <v>14.240795660909091</v>
      </c>
    </row>
    <row r="164" spans="1:17" ht="15.75" customHeight="1" x14ac:dyDescent="0.15">
      <c r="A164" s="27" t="s">
        <v>90</v>
      </c>
      <c r="B164" s="2" t="s">
        <v>228</v>
      </c>
      <c r="C164" s="17">
        <v>45465</v>
      </c>
      <c r="D164" s="1">
        <v>2024</v>
      </c>
      <c r="E164" s="1" t="s">
        <v>91</v>
      </c>
      <c r="F164" s="1" t="s">
        <v>92</v>
      </c>
      <c r="G164" s="2" t="str">
        <f t="shared" si="9"/>
        <v>57.43190</v>
      </c>
      <c r="H164" s="2" t="str">
        <f t="shared" si="11"/>
        <v>48.46025</v>
      </c>
      <c r="I164" s="1">
        <v>3</v>
      </c>
      <c r="J164" s="5">
        <v>19.3</v>
      </c>
      <c r="K164" s="6">
        <v>6.87</v>
      </c>
      <c r="L164" s="1">
        <v>22</v>
      </c>
      <c r="M164" s="1">
        <v>11</v>
      </c>
      <c r="O164">
        <v>3.6021380819999993</v>
      </c>
      <c r="P164">
        <v>0.21406021040000001</v>
      </c>
      <c r="Q164">
        <f t="shared" si="10"/>
        <v>21.406021039999999</v>
      </c>
    </row>
    <row r="165" spans="1:17" ht="15.75" customHeight="1" x14ac:dyDescent="0.15">
      <c r="A165" s="28" t="s">
        <v>190</v>
      </c>
      <c r="B165" s="2" t="s">
        <v>228</v>
      </c>
      <c r="C165" s="18">
        <v>45465</v>
      </c>
      <c r="D165" s="2">
        <v>2024</v>
      </c>
      <c r="E165" s="2" t="s">
        <v>88</v>
      </c>
      <c r="F165" s="2" t="s">
        <v>89</v>
      </c>
      <c r="G165" s="2" t="str">
        <f t="shared" si="9"/>
        <v>57.47034</v>
      </c>
      <c r="H165" s="2" t="str">
        <f t="shared" si="11"/>
        <v>48.39377</v>
      </c>
      <c r="I165" s="2">
        <v>1</v>
      </c>
      <c r="J165" s="3">
        <v>17.399999999999999</v>
      </c>
      <c r="K165" s="4">
        <v>7.34</v>
      </c>
      <c r="L165" s="2">
        <v>33</v>
      </c>
      <c r="M165" s="2">
        <v>16</v>
      </c>
      <c r="N165" s="2">
        <v>20</v>
      </c>
      <c r="O165">
        <v>3.5806292077999999</v>
      </c>
      <c r="P165">
        <v>0.19081708110833331</v>
      </c>
      <c r="Q165">
        <f t="shared" si="10"/>
        <v>19.081708110833333</v>
      </c>
    </row>
    <row r="166" spans="1:17" ht="15.75" customHeight="1" x14ac:dyDescent="0.15">
      <c r="A166" s="28" t="s">
        <v>190</v>
      </c>
      <c r="B166" s="2" t="s">
        <v>228</v>
      </c>
      <c r="C166" s="18">
        <v>45465</v>
      </c>
      <c r="D166" s="2">
        <v>2024</v>
      </c>
      <c r="E166" s="2" t="s">
        <v>88</v>
      </c>
      <c r="F166" s="2" t="s">
        <v>89</v>
      </c>
      <c r="G166" s="2" t="str">
        <f t="shared" si="9"/>
        <v>57.47034</v>
      </c>
      <c r="H166" s="2" t="str">
        <f t="shared" si="11"/>
        <v>48.39377</v>
      </c>
      <c r="I166" s="2">
        <v>2</v>
      </c>
      <c r="J166" s="3">
        <v>17.3</v>
      </c>
      <c r="K166" s="4">
        <v>7.34</v>
      </c>
      <c r="L166" s="2">
        <v>31</v>
      </c>
      <c r="M166" s="2">
        <v>16</v>
      </c>
      <c r="N166" s="2">
        <v>20</v>
      </c>
      <c r="O166">
        <v>1.5713926381818184</v>
      </c>
      <c r="P166">
        <v>0.12163555875454546</v>
      </c>
      <c r="Q166">
        <f t="shared" si="10"/>
        <v>12.163555875454545</v>
      </c>
    </row>
    <row r="167" spans="1:17" ht="15.75" customHeight="1" x14ac:dyDescent="0.15">
      <c r="A167" s="28" t="s">
        <v>190</v>
      </c>
      <c r="B167" s="2" t="s">
        <v>228</v>
      </c>
      <c r="C167" s="18">
        <v>45465</v>
      </c>
      <c r="D167" s="2">
        <v>2024</v>
      </c>
      <c r="E167" s="2" t="s">
        <v>88</v>
      </c>
      <c r="F167" s="2" t="s">
        <v>89</v>
      </c>
      <c r="G167" s="2" t="str">
        <f t="shared" si="9"/>
        <v>57.47034</v>
      </c>
      <c r="H167" s="2" t="str">
        <f t="shared" si="11"/>
        <v>48.39377</v>
      </c>
      <c r="I167" s="2">
        <v>3</v>
      </c>
      <c r="J167" s="3">
        <v>17.3</v>
      </c>
      <c r="K167" s="4">
        <v>7.34</v>
      </c>
      <c r="L167" s="2">
        <v>31</v>
      </c>
      <c r="M167" s="2">
        <v>15</v>
      </c>
      <c r="N167" s="7"/>
      <c r="O167">
        <v>2.6784185622727268</v>
      </c>
      <c r="P167">
        <v>0.18395838574000001</v>
      </c>
      <c r="Q167">
        <f t="shared" si="10"/>
        <v>18.395838574000003</v>
      </c>
    </row>
    <row r="168" spans="1:17" ht="15.75" customHeight="1" x14ac:dyDescent="0.15">
      <c r="A168" s="27"/>
      <c r="I168" s="1"/>
      <c r="J168" s="1"/>
      <c r="K168" s="1"/>
      <c r="L168" s="1"/>
      <c r="M168" s="1"/>
      <c r="N168" s="1"/>
    </row>
    <row r="169" spans="1:17" ht="15.75" customHeight="1" x14ac:dyDescent="0.15">
      <c r="A169" s="27"/>
      <c r="I169" s="1"/>
      <c r="J169" s="1"/>
      <c r="K169" s="1"/>
      <c r="L169" s="1"/>
      <c r="M169" s="1"/>
      <c r="N169" s="1"/>
    </row>
    <row r="170" spans="1:17" ht="15.75" customHeight="1" x14ac:dyDescent="0.15">
      <c r="I170" s="1"/>
      <c r="J170" s="1"/>
      <c r="K170" s="1"/>
      <c r="L170" s="1"/>
      <c r="M170" s="1"/>
      <c r="N170" s="1"/>
    </row>
    <row r="171" spans="1:17" ht="15.75" customHeight="1" x14ac:dyDescent="0.15">
      <c r="I171" s="1"/>
      <c r="J171" s="1"/>
      <c r="K171" s="1"/>
      <c r="L171" s="1"/>
      <c r="M171" s="1"/>
      <c r="N171" s="1"/>
    </row>
    <row r="172" spans="1:17" ht="15.75" customHeight="1" x14ac:dyDescent="0.15">
      <c r="I172" s="1"/>
      <c r="J172" s="1"/>
      <c r="K172" s="1"/>
      <c r="L172" s="1"/>
      <c r="M172" s="1"/>
      <c r="N172" s="1"/>
    </row>
    <row r="173" spans="1:17" ht="15.75" customHeight="1" x14ac:dyDescent="0.15">
      <c r="I173" s="1"/>
      <c r="J173" s="1"/>
      <c r="K173" s="1"/>
      <c r="L173" s="1"/>
      <c r="M173" s="1"/>
      <c r="N173" s="1"/>
    </row>
    <row r="174" spans="1:17" ht="15.75" customHeight="1" x14ac:dyDescent="0.15">
      <c r="I174" s="1"/>
      <c r="J174" s="1"/>
      <c r="K174" s="1"/>
      <c r="L174" s="1"/>
      <c r="M174" s="1"/>
      <c r="N174" s="1"/>
    </row>
    <row r="175" spans="1:17" ht="15.75" customHeight="1" x14ac:dyDescent="0.15">
      <c r="I175" s="1"/>
      <c r="J175" s="1"/>
      <c r="K175" s="1"/>
      <c r="L175" s="1"/>
      <c r="M175" s="1"/>
      <c r="N175" s="1"/>
    </row>
    <row r="176" spans="1:17" ht="15.75" customHeight="1" x14ac:dyDescent="0.15">
      <c r="I176" s="1"/>
      <c r="J176" s="1"/>
      <c r="K176" s="1"/>
      <c r="L176" s="1"/>
      <c r="M176" s="1"/>
      <c r="N176" s="1"/>
    </row>
    <row r="177" spans="9:14" ht="15.75" customHeight="1" x14ac:dyDescent="0.15">
      <c r="I177" s="1"/>
      <c r="J177" s="1"/>
      <c r="K177" s="1"/>
      <c r="L177" s="1"/>
      <c r="M177" s="1"/>
      <c r="N177" s="1"/>
    </row>
    <row r="178" spans="9:14" ht="15.75" customHeight="1" x14ac:dyDescent="0.15">
      <c r="I178" s="1"/>
      <c r="J178" s="1"/>
      <c r="K178" s="1"/>
      <c r="L178" s="1"/>
      <c r="M178" s="1"/>
      <c r="N178" s="1"/>
    </row>
    <row r="179" spans="9:14" ht="15.75" customHeight="1" x14ac:dyDescent="0.15">
      <c r="I179" s="1"/>
      <c r="J179" s="1"/>
      <c r="K179" s="1"/>
      <c r="L179" s="1"/>
      <c r="M179" s="1"/>
      <c r="N179" s="1"/>
    </row>
    <row r="180" spans="9:14" ht="15.75" customHeight="1" x14ac:dyDescent="0.15">
      <c r="I180" s="1"/>
      <c r="J180" s="1"/>
      <c r="K180" s="1"/>
      <c r="L180" s="1"/>
      <c r="M180" s="1"/>
      <c r="N180" s="1"/>
    </row>
    <row r="181" spans="9:14" ht="15.75" customHeight="1" x14ac:dyDescent="0.15">
      <c r="I181" s="1"/>
      <c r="J181" s="1"/>
      <c r="K181" s="1"/>
      <c r="L181" s="1"/>
      <c r="M181" s="1"/>
      <c r="N181" s="1"/>
    </row>
    <row r="182" spans="9:14" ht="15.75" customHeight="1" x14ac:dyDescent="0.15">
      <c r="I182" s="1"/>
      <c r="J182" s="1"/>
      <c r="K182" s="1"/>
      <c r="L182" s="1"/>
      <c r="M182" s="1"/>
      <c r="N182" s="1"/>
    </row>
    <row r="183" spans="9:14" ht="15.75" customHeight="1" x14ac:dyDescent="0.15">
      <c r="I183" s="1"/>
      <c r="J183" s="1"/>
      <c r="K183" s="1"/>
      <c r="L183" s="1"/>
      <c r="M183" s="1"/>
      <c r="N183" s="1"/>
    </row>
    <row r="184" spans="9:14" ht="15.75" customHeight="1" x14ac:dyDescent="0.15">
      <c r="I184" s="1"/>
      <c r="J184" s="1"/>
      <c r="K184" s="1"/>
      <c r="L184" s="1"/>
      <c r="M184" s="1"/>
      <c r="N184" s="1"/>
    </row>
    <row r="185" spans="9:14" ht="15.75" customHeight="1" x14ac:dyDescent="0.15">
      <c r="I185" s="1"/>
      <c r="J185" s="1"/>
      <c r="K185" s="1"/>
      <c r="L185" s="1"/>
      <c r="M185" s="1"/>
      <c r="N185" s="1"/>
    </row>
    <row r="186" spans="9:14" ht="15.75" customHeight="1" x14ac:dyDescent="0.15">
      <c r="I186" s="1"/>
      <c r="J186" s="1"/>
      <c r="K186" s="1"/>
      <c r="L186" s="1"/>
      <c r="M186" s="1"/>
      <c r="N186" s="1"/>
    </row>
    <row r="187" spans="9:14" ht="15.75" customHeight="1" x14ac:dyDescent="0.15">
      <c r="I187" s="1"/>
      <c r="J187" s="1"/>
      <c r="K187" s="1"/>
      <c r="L187" s="1"/>
      <c r="M187" s="1"/>
      <c r="N187" s="1"/>
    </row>
    <row r="188" spans="9:14" ht="15.75" customHeight="1" x14ac:dyDescent="0.15">
      <c r="I188" s="1"/>
      <c r="J188" s="1"/>
      <c r="K188" s="1"/>
      <c r="L188" s="1"/>
      <c r="M188" s="1"/>
      <c r="N188" s="1"/>
    </row>
    <row r="189" spans="9:14" ht="15.75" customHeight="1" x14ac:dyDescent="0.15">
      <c r="I189" s="1"/>
      <c r="J189" s="1"/>
      <c r="K189" s="1"/>
      <c r="L189" s="1"/>
      <c r="M189" s="1"/>
      <c r="N189" s="1"/>
    </row>
    <row r="190" spans="9:14" ht="15.75" customHeight="1" x14ac:dyDescent="0.15">
      <c r="I190" s="1"/>
      <c r="J190" s="1"/>
      <c r="K190" s="1"/>
      <c r="L190" s="1"/>
      <c r="M190" s="1"/>
      <c r="N190" s="1"/>
    </row>
    <row r="191" spans="9:14" ht="15.75" customHeight="1" x14ac:dyDescent="0.15">
      <c r="I191" s="1"/>
      <c r="J191" s="1"/>
      <c r="K191" s="1"/>
      <c r="L191" s="1"/>
      <c r="M191" s="1"/>
      <c r="N191" s="1"/>
    </row>
    <row r="192" spans="9:14" ht="15.75" customHeight="1" x14ac:dyDescent="0.15">
      <c r="I192" s="1"/>
      <c r="J192" s="1"/>
      <c r="K192" s="1"/>
      <c r="L192" s="1"/>
      <c r="M192" s="1"/>
      <c r="N192" s="1"/>
    </row>
    <row r="193" spans="9:14" ht="15.75" customHeight="1" x14ac:dyDescent="0.15">
      <c r="I193" s="1"/>
      <c r="J193" s="1"/>
      <c r="K193" s="1"/>
      <c r="L193" s="1"/>
      <c r="M193" s="1"/>
      <c r="N193" s="1"/>
    </row>
    <row r="194" spans="9:14" ht="15.75" customHeight="1" x14ac:dyDescent="0.15">
      <c r="I194" s="1"/>
      <c r="J194" s="1"/>
      <c r="K194" s="1"/>
      <c r="L194" s="1"/>
      <c r="M194" s="1"/>
      <c r="N194" s="1"/>
    </row>
    <row r="195" spans="9:14" ht="15.75" customHeight="1" x14ac:dyDescent="0.15">
      <c r="I195" s="1"/>
      <c r="J195" s="1"/>
      <c r="K195" s="1"/>
      <c r="L195" s="1"/>
      <c r="M195" s="1"/>
      <c r="N195" s="1"/>
    </row>
    <row r="196" spans="9:14" ht="15.75" customHeight="1" x14ac:dyDescent="0.15">
      <c r="I196" s="1"/>
      <c r="J196" s="1"/>
      <c r="K196" s="1"/>
      <c r="L196" s="1"/>
      <c r="M196" s="1"/>
      <c r="N196" s="1"/>
    </row>
    <row r="197" spans="9:14" ht="15.75" customHeight="1" x14ac:dyDescent="0.15">
      <c r="I197" s="1"/>
      <c r="J197" s="1"/>
      <c r="K197" s="1"/>
      <c r="L197" s="1"/>
      <c r="M197" s="1"/>
      <c r="N197" s="1"/>
    </row>
    <row r="198" spans="9:14" ht="15.75" customHeight="1" x14ac:dyDescent="0.15">
      <c r="I198" s="1"/>
      <c r="J198" s="1"/>
      <c r="K198" s="1"/>
      <c r="L198" s="1"/>
      <c r="M198" s="1"/>
      <c r="N198" s="1"/>
    </row>
    <row r="199" spans="9:14" ht="15.75" customHeight="1" x14ac:dyDescent="0.15">
      <c r="I199" s="1"/>
      <c r="J199" s="1"/>
      <c r="K199" s="1"/>
      <c r="L199" s="1"/>
      <c r="M199" s="1"/>
      <c r="N199" s="1"/>
    </row>
    <row r="200" spans="9:14" ht="15.75" customHeight="1" x14ac:dyDescent="0.15">
      <c r="I200" s="1"/>
      <c r="J200" s="1"/>
      <c r="K200" s="1"/>
      <c r="L200" s="1"/>
      <c r="M200" s="1"/>
      <c r="N200" s="1"/>
    </row>
    <row r="201" spans="9:14" ht="15.75" customHeight="1" x14ac:dyDescent="0.15">
      <c r="I201" s="1"/>
      <c r="J201" s="1"/>
      <c r="K201" s="1"/>
      <c r="L201" s="1"/>
      <c r="M201" s="1"/>
      <c r="N201" s="1"/>
    </row>
    <row r="202" spans="9:14" ht="15.75" customHeight="1" x14ac:dyDescent="0.15">
      <c r="I202" s="1"/>
      <c r="J202" s="1"/>
      <c r="K202" s="1"/>
      <c r="L202" s="1"/>
      <c r="M202" s="1"/>
      <c r="N202" s="1"/>
    </row>
    <row r="203" spans="9:14" ht="15.75" customHeight="1" x14ac:dyDescent="0.15">
      <c r="I203" s="1"/>
      <c r="J203" s="1"/>
      <c r="K203" s="1"/>
      <c r="L203" s="1"/>
      <c r="M203" s="1"/>
      <c r="N203" s="1"/>
    </row>
    <row r="204" spans="9:14" ht="15.75" customHeight="1" x14ac:dyDescent="0.15">
      <c r="I204" s="1"/>
      <c r="J204" s="1"/>
      <c r="K204" s="1"/>
      <c r="L204" s="1"/>
      <c r="M204" s="1"/>
      <c r="N204" s="1"/>
    </row>
    <row r="205" spans="9:14" ht="15.75" customHeight="1" x14ac:dyDescent="0.15">
      <c r="I205" s="1"/>
      <c r="J205" s="1"/>
      <c r="K205" s="1"/>
      <c r="L205" s="1"/>
      <c r="M205" s="1"/>
      <c r="N205" s="1"/>
    </row>
    <row r="206" spans="9:14" ht="15.75" customHeight="1" x14ac:dyDescent="0.15">
      <c r="I206" s="1"/>
      <c r="J206" s="1"/>
      <c r="K206" s="1"/>
      <c r="L206" s="1"/>
      <c r="M206" s="1"/>
      <c r="N206" s="1"/>
    </row>
    <row r="207" spans="9:14" ht="15.75" customHeight="1" x14ac:dyDescent="0.15">
      <c r="I207" s="1"/>
      <c r="J207" s="1"/>
      <c r="K207" s="1"/>
      <c r="L207" s="1"/>
      <c r="M207" s="1"/>
      <c r="N207" s="1"/>
    </row>
    <row r="208" spans="9:14" ht="15.75" customHeight="1" x14ac:dyDescent="0.15">
      <c r="I208" s="1"/>
      <c r="J208" s="1"/>
      <c r="K208" s="1"/>
      <c r="L208" s="1"/>
      <c r="M208" s="1"/>
      <c r="N208" s="1"/>
    </row>
    <row r="209" spans="9:14" ht="15.75" customHeight="1" x14ac:dyDescent="0.15">
      <c r="I209" s="1"/>
      <c r="J209" s="1"/>
      <c r="K209" s="1"/>
      <c r="L209" s="1"/>
      <c r="M209" s="1"/>
      <c r="N209" s="1"/>
    </row>
    <row r="210" spans="9:14" ht="15.75" customHeight="1" x14ac:dyDescent="0.15">
      <c r="I210" s="1"/>
      <c r="J210" s="1"/>
      <c r="K210" s="1"/>
      <c r="L210" s="1"/>
      <c r="M210" s="1"/>
      <c r="N210" s="1"/>
    </row>
    <row r="211" spans="9:14" ht="15.75" customHeight="1" x14ac:dyDescent="0.15">
      <c r="I211" s="1"/>
      <c r="J211" s="1"/>
      <c r="K211" s="1"/>
      <c r="L211" s="1"/>
      <c r="M211" s="1"/>
      <c r="N211" s="1"/>
    </row>
    <row r="212" spans="9:14" ht="15.75" customHeight="1" x14ac:dyDescent="0.15">
      <c r="I212" s="1"/>
      <c r="J212" s="1"/>
      <c r="K212" s="1"/>
      <c r="L212" s="1"/>
      <c r="M212" s="1"/>
      <c r="N212" s="1"/>
    </row>
    <row r="213" spans="9:14" ht="15.75" customHeight="1" x14ac:dyDescent="0.15">
      <c r="I213" s="1"/>
      <c r="J213" s="1"/>
      <c r="K213" s="1"/>
      <c r="L213" s="1"/>
      <c r="M213" s="1"/>
      <c r="N213" s="1"/>
    </row>
    <row r="214" spans="9:14" ht="15.75" customHeight="1" x14ac:dyDescent="0.15">
      <c r="I214" s="1"/>
      <c r="J214" s="1"/>
      <c r="K214" s="1"/>
      <c r="L214" s="1"/>
      <c r="M214" s="1"/>
      <c r="N214" s="1"/>
    </row>
    <row r="215" spans="9:14" ht="15.75" customHeight="1" x14ac:dyDescent="0.15">
      <c r="I215" s="1"/>
      <c r="J215" s="1"/>
      <c r="K215" s="1"/>
      <c r="L215" s="1"/>
      <c r="M215" s="1"/>
      <c r="N215" s="1"/>
    </row>
    <row r="216" spans="9:14" ht="15.75" customHeight="1" x14ac:dyDescent="0.15">
      <c r="I216" s="1"/>
      <c r="J216" s="1"/>
      <c r="K216" s="1"/>
      <c r="L216" s="1"/>
      <c r="M216" s="1"/>
      <c r="N216" s="1"/>
    </row>
    <row r="217" spans="9:14" ht="15.75" customHeight="1" x14ac:dyDescent="0.15">
      <c r="I217" s="1"/>
      <c r="J217" s="1"/>
      <c r="K217" s="1"/>
      <c r="L217" s="1"/>
      <c r="M217" s="1"/>
      <c r="N217" s="1"/>
    </row>
    <row r="218" spans="9:14" ht="15.75" customHeight="1" x14ac:dyDescent="0.15">
      <c r="I218" s="1"/>
      <c r="J218" s="1"/>
      <c r="K218" s="1"/>
      <c r="L218" s="1"/>
      <c r="M218" s="1"/>
      <c r="N218" s="1"/>
    </row>
    <row r="219" spans="9:14" ht="15.75" customHeight="1" x14ac:dyDescent="0.15">
      <c r="I219" s="1"/>
      <c r="J219" s="1"/>
      <c r="K219" s="1"/>
      <c r="L219" s="1"/>
      <c r="M219" s="1"/>
      <c r="N219" s="1"/>
    </row>
    <row r="220" spans="9:14" ht="15.75" customHeight="1" x14ac:dyDescent="0.15">
      <c r="I220" s="1"/>
      <c r="J220" s="1"/>
      <c r="K220" s="1"/>
      <c r="L220" s="1"/>
      <c r="M220" s="1"/>
      <c r="N220" s="1"/>
    </row>
    <row r="221" spans="9:14" ht="15.75" customHeight="1" x14ac:dyDescent="0.15">
      <c r="I221" s="1"/>
      <c r="J221" s="1"/>
      <c r="K221" s="1"/>
      <c r="L221" s="1"/>
      <c r="M221" s="1"/>
      <c r="N221" s="1"/>
    </row>
    <row r="222" spans="9:14" ht="15.75" customHeight="1" x14ac:dyDescent="0.15">
      <c r="I222" s="1"/>
      <c r="J222" s="1"/>
      <c r="K222" s="1"/>
      <c r="L222" s="1"/>
      <c r="M222" s="1"/>
      <c r="N222" s="1"/>
    </row>
    <row r="223" spans="9:14" ht="15.75" customHeight="1" x14ac:dyDescent="0.15">
      <c r="I223" s="1"/>
      <c r="J223" s="1"/>
      <c r="K223" s="1"/>
      <c r="L223" s="1"/>
      <c r="M223" s="1"/>
      <c r="N223" s="1"/>
    </row>
    <row r="224" spans="9:14" ht="15.75" customHeight="1" x14ac:dyDescent="0.15">
      <c r="I224" s="1"/>
      <c r="J224" s="1"/>
      <c r="K224" s="1"/>
      <c r="L224" s="1"/>
      <c r="M224" s="1"/>
      <c r="N224" s="1"/>
    </row>
    <row r="225" spans="9:14" ht="15.75" customHeight="1" x14ac:dyDescent="0.15">
      <c r="I225" s="1"/>
      <c r="J225" s="1"/>
      <c r="K225" s="1"/>
      <c r="L225" s="1"/>
      <c r="M225" s="1"/>
      <c r="N225" s="1"/>
    </row>
    <row r="226" spans="9:14" ht="15.75" customHeight="1" x14ac:dyDescent="0.15">
      <c r="I226" s="1"/>
      <c r="J226" s="1"/>
      <c r="K226" s="1"/>
      <c r="L226" s="1"/>
      <c r="M226" s="1"/>
      <c r="N226" s="1"/>
    </row>
    <row r="227" spans="9:14" ht="15.75" customHeight="1" x14ac:dyDescent="0.15">
      <c r="I227" s="1"/>
      <c r="J227" s="1"/>
      <c r="K227" s="1"/>
      <c r="L227" s="1"/>
      <c r="M227" s="1"/>
      <c r="N227" s="1"/>
    </row>
    <row r="228" spans="9:14" ht="15.75" customHeight="1" x14ac:dyDescent="0.15">
      <c r="I228" s="1"/>
      <c r="J228" s="1"/>
      <c r="K228" s="1"/>
      <c r="L228" s="1"/>
      <c r="M228" s="1"/>
      <c r="N228" s="1"/>
    </row>
    <row r="229" spans="9:14" ht="15.75" customHeight="1" x14ac:dyDescent="0.15">
      <c r="I229" s="1"/>
      <c r="J229" s="1"/>
      <c r="K229" s="1"/>
      <c r="L229" s="1"/>
      <c r="M229" s="1"/>
      <c r="N229" s="1"/>
    </row>
    <row r="230" spans="9:14" ht="15.75" customHeight="1" x14ac:dyDescent="0.15">
      <c r="I230" s="1"/>
      <c r="J230" s="1"/>
      <c r="K230" s="1"/>
      <c r="L230" s="1"/>
      <c r="M230" s="1"/>
      <c r="N230" s="1"/>
    </row>
    <row r="231" spans="9:14" ht="15.75" customHeight="1" x14ac:dyDescent="0.15">
      <c r="I231" s="1"/>
      <c r="J231" s="1"/>
      <c r="K231" s="1"/>
      <c r="L231" s="1"/>
      <c r="M231" s="1"/>
      <c r="N231" s="1"/>
    </row>
    <row r="232" spans="9:14" ht="15.75" customHeight="1" x14ac:dyDescent="0.15">
      <c r="I232" s="1"/>
      <c r="J232" s="1"/>
      <c r="K232" s="1"/>
      <c r="L232" s="1"/>
      <c r="M232" s="1"/>
      <c r="N232" s="1"/>
    </row>
    <row r="233" spans="9:14" ht="15.75" customHeight="1" x14ac:dyDescent="0.15">
      <c r="I233" s="1"/>
      <c r="J233" s="1"/>
      <c r="K233" s="1"/>
      <c r="L233" s="1"/>
      <c r="M233" s="1"/>
      <c r="N233" s="1"/>
    </row>
    <row r="234" spans="9:14" ht="15.75" customHeight="1" x14ac:dyDescent="0.15">
      <c r="I234" s="1"/>
      <c r="J234" s="1"/>
      <c r="K234" s="1"/>
      <c r="L234" s="1"/>
      <c r="M234" s="1"/>
      <c r="N234" s="1"/>
    </row>
    <row r="235" spans="9:14" ht="15.75" customHeight="1" x14ac:dyDescent="0.15">
      <c r="I235" s="1"/>
      <c r="J235" s="1"/>
      <c r="K235" s="1"/>
      <c r="L235" s="1"/>
      <c r="M235" s="1"/>
      <c r="N235" s="1"/>
    </row>
    <row r="236" spans="9:14" ht="15.75" customHeight="1" x14ac:dyDescent="0.15">
      <c r="I236" s="1"/>
      <c r="J236" s="1"/>
      <c r="K236" s="1"/>
      <c r="L236" s="1"/>
      <c r="M236" s="1"/>
      <c r="N236" s="1"/>
    </row>
    <row r="237" spans="9:14" ht="15.75" customHeight="1" x14ac:dyDescent="0.15">
      <c r="I237" s="1"/>
      <c r="J237" s="1"/>
      <c r="K237" s="1"/>
      <c r="L237" s="1"/>
      <c r="M237" s="1"/>
      <c r="N237" s="1"/>
    </row>
    <row r="238" spans="9:14" ht="15.75" customHeight="1" x14ac:dyDescent="0.15">
      <c r="I238" s="1"/>
      <c r="J238" s="1"/>
      <c r="K238" s="1"/>
      <c r="L238" s="1"/>
      <c r="M238" s="1"/>
      <c r="N238" s="1"/>
    </row>
    <row r="239" spans="9:14" ht="15.75" customHeight="1" x14ac:dyDescent="0.15">
      <c r="I239" s="1"/>
      <c r="J239" s="1"/>
      <c r="K239" s="1"/>
      <c r="L239" s="1"/>
      <c r="M239" s="1"/>
      <c r="N239" s="1"/>
    </row>
    <row r="240" spans="9:14" ht="15.75" customHeight="1" x14ac:dyDescent="0.15">
      <c r="I240" s="1"/>
      <c r="J240" s="1"/>
      <c r="K240" s="1"/>
      <c r="L240" s="1"/>
      <c r="M240" s="1"/>
      <c r="N240" s="1"/>
    </row>
    <row r="241" spans="9:14" ht="15.75" customHeight="1" x14ac:dyDescent="0.15">
      <c r="I241" s="1"/>
      <c r="J241" s="1"/>
      <c r="K241" s="1"/>
      <c r="L241" s="1"/>
      <c r="M241" s="1"/>
      <c r="N241" s="1"/>
    </row>
    <row r="242" spans="9:14" ht="15.75" customHeight="1" x14ac:dyDescent="0.15">
      <c r="I242" s="1"/>
      <c r="J242" s="1"/>
      <c r="K242" s="1"/>
      <c r="L242" s="1"/>
      <c r="M242" s="1"/>
      <c r="N242" s="1"/>
    </row>
    <row r="243" spans="9:14" ht="15.75" customHeight="1" x14ac:dyDescent="0.15">
      <c r="I243" s="1"/>
      <c r="J243" s="1"/>
      <c r="K243" s="1"/>
      <c r="L243" s="1"/>
      <c r="M243" s="1"/>
      <c r="N243" s="1"/>
    </row>
    <row r="244" spans="9:14" ht="15.75" customHeight="1" x14ac:dyDescent="0.15">
      <c r="I244" s="1"/>
      <c r="J244" s="1"/>
      <c r="K244" s="1"/>
      <c r="L244" s="1"/>
      <c r="M244" s="1"/>
      <c r="N244" s="1"/>
    </row>
    <row r="245" spans="9:14" ht="15.75" customHeight="1" x14ac:dyDescent="0.15">
      <c r="I245" s="1"/>
      <c r="J245" s="1"/>
      <c r="K245" s="1"/>
      <c r="L245" s="1"/>
      <c r="M245" s="1"/>
      <c r="N245" s="1"/>
    </row>
    <row r="246" spans="9:14" ht="15.75" customHeight="1" x14ac:dyDescent="0.15">
      <c r="I246" s="1"/>
      <c r="J246" s="1"/>
      <c r="K246" s="1"/>
      <c r="L246" s="1"/>
      <c r="M246" s="1"/>
      <c r="N246" s="1"/>
    </row>
    <row r="247" spans="9:14" ht="15.75" customHeight="1" x14ac:dyDescent="0.15">
      <c r="I247" s="1"/>
      <c r="J247" s="1"/>
      <c r="K247" s="1"/>
      <c r="L247" s="1"/>
      <c r="M247" s="1"/>
      <c r="N247" s="1"/>
    </row>
    <row r="248" spans="9:14" ht="15.75" customHeight="1" x14ac:dyDescent="0.15">
      <c r="I248" s="1"/>
      <c r="J248" s="1"/>
      <c r="K248" s="1"/>
      <c r="L248" s="1"/>
      <c r="M248" s="1"/>
      <c r="N248" s="1"/>
    </row>
    <row r="249" spans="9:14" ht="15.75" customHeight="1" x14ac:dyDescent="0.15">
      <c r="I249" s="1"/>
      <c r="J249" s="1"/>
      <c r="K249" s="1"/>
      <c r="L249" s="1"/>
      <c r="M249" s="1"/>
      <c r="N249" s="1"/>
    </row>
    <row r="250" spans="9:14" ht="15.75" customHeight="1" x14ac:dyDescent="0.15">
      <c r="I250" s="1"/>
      <c r="J250" s="1"/>
      <c r="K250" s="1"/>
      <c r="L250" s="1"/>
      <c r="M250" s="1"/>
      <c r="N250" s="1"/>
    </row>
    <row r="251" spans="9:14" ht="15.75" customHeight="1" x14ac:dyDescent="0.15">
      <c r="I251" s="1"/>
      <c r="J251" s="1"/>
      <c r="K251" s="1"/>
      <c r="L251" s="1"/>
      <c r="M251" s="1"/>
      <c r="N251" s="1"/>
    </row>
    <row r="252" spans="9:14" ht="15.75" customHeight="1" x14ac:dyDescent="0.15">
      <c r="I252" s="1"/>
      <c r="J252" s="1"/>
      <c r="K252" s="1"/>
      <c r="L252" s="1"/>
      <c r="M252" s="1"/>
      <c r="N252" s="1"/>
    </row>
    <row r="253" spans="9:14" ht="15.75" customHeight="1" x14ac:dyDescent="0.15">
      <c r="I253" s="1"/>
      <c r="J253" s="1"/>
      <c r="K253" s="1"/>
      <c r="L253" s="1"/>
      <c r="M253" s="1"/>
      <c r="N253" s="1"/>
    </row>
    <row r="254" spans="9:14" ht="15.75" customHeight="1" x14ac:dyDescent="0.15">
      <c r="I254" s="1"/>
      <c r="J254" s="1"/>
      <c r="K254" s="1"/>
      <c r="L254" s="1"/>
      <c r="M254" s="1"/>
      <c r="N254" s="1"/>
    </row>
    <row r="255" spans="9:14" ht="15.75" customHeight="1" x14ac:dyDescent="0.15">
      <c r="I255" s="1"/>
      <c r="J255" s="1"/>
      <c r="K255" s="1"/>
      <c r="L255" s="1"/>
      <c r="M255" s="1"/>
      <c r="N255" s="1"/>
    </row>
    <row r="256" spans="9:14" ht="15.75" customHeight="1" x14ac:dyDescent="0.15">
      <c r="I256" s="1"/>
      <c r="J256" s="1"/>
      <c r="K256" s="1"/>
      <c r="L256" s="1"/>
      <c r="M256" s="1"/>
      <c r="N256" s="1"/>
    </row>
    <row r="257" spans="9:14" ht="15.75" customHeight="1" x14ac:dyDescent="0.15">
      <c r="I257" s="1"/>
      <c r="J257" s="1"/>
      <c r="K257" s="1"/>
      <c r="L257" s="1"/>
      <c r="M257" s="1"/>
      <c r="N257" s="1"/>
    </row>
    <row r="258" spans="9:14" ht="15.75" customHeight="1" x14ac:dyDescent="0.15">
      <c r="I258" s="1"/>
      <c r="J258" s="1"/>
      <c r="K258" s="1"/>
      <c r="L258" s="1"/>
      <c r="M258" s="1"/>
      <c r="N258" s="1"/>
    </row>
    <row r="259" spans="9:14" ht="15.75" customHeight="1" x14ac:dyDescent="0.15">
      <c r="I259" s="1"/>
      <c r="J259" s="1"/>
      <c r="K259" s="1"/>
      <c r="L259" s="1"/>
      <c r="M259" s="1"/>
      <c r="N259" s="1"/>
    </row>
    <row r="260" spans="9:14" ht="15.75" customHeight="1" x14ac:dyDescent="0.15">
      <c r="I260" s="1"/>
      <c r="J260" s="1"/>
      <c r="K260" s="1"/>
      <c r="L260" s="1"/>
      <c r="M260" s="1"/>
      <c r="N260" s="1"/>
    </row>
    <row r="261" spans="9:14" ht="15.75" customHeight="1" x14ac:dyDescent="0.15">
      <c r="I261" s="1"/>
      <c r="J261" s="1"/>
      <c r="K261" s="1"/>
      <c r="L261" s="1"/>
      <c r="M261" s="1"/>
      <c r="N261" s="1"/>
    </row>
    <row r="262" spans="9:14" ht="15.75" customHeight="1" x14ac:dyDescent="0.15">
      <c r="I262" s="1"/>
      <c r="J262" s="1"/>
      <c r="K262" s="1"/>
      <c r="L262" s="1"/>
      <c r="M262" s="1"/>
      <c r="N262" s="1"/>
    </row>
    <row r="263" spans="9:14" ht="15.75" customHeight="1" x14ac:dyDescent="0.15">
      <c r="I263" s="1"/>
      <c r="J263" s="1"/>
      <c r="K263" s="1"/>
      <c r="L263" s="1"/>
      <c r="M263" s="1"/>
      <c r="N263" s="1"/>
    </row>
    <row r="264" spans="9:14" ht="15.75" customHeight="1" x14ac:dyDescent="0.15">
      <c r="I264" s="1"/>
      <c r="J264" s="1"/>
      <c r="K264" s="1"/>
      <c r="L264" s="1"/>
      <c r="M264" s="1"/>
      <c r="N264" s="1"/>
    </row>
    <row r="265" spans="9:14" ht="15.75" customHeight="1" x14ac:dyDescent="0.15">
      <c r="I265" s="1"/>
      <c r="J265" s="1"/>
      <c r="K265" s="1"/>
      <c r="L265" s="1"/>
      <c r="M265" s="1"/>
      <c r="N265" s="1"/>
    </row>
    <row r="266" spans="9:14" ht="15.75" customHeight="1" x14ac:dyDescent="0.15">
      <c r="I266" s="1"/>
      <c r="J266" s="1"/>
      <c r="K266" s="1"/>
      <c r="L266" s="1"/>
      <c r="M266" s="1"/>
      <c r="N266" s="1"/>
    </row>
    <row r="267" spans="9:14" ht="15.75" customHeight="1" x14ac:dyDescent="0.15">
      <c r="I267" s="1"/>
      <c r="J267" s="1"/>
      <c r="K267" s="1"/>
      <c r="L267" s="1"/>
      <c r="M267" s="1"/>
      <c r="N267" s="1"/>
    </row>
    <row r="268" spans="9:14" ht="15.75" customHeight="1" x14ac:dyDescent="0.15">
      <c r="I268" s="1"/>
      <c r="J268" s="1"/>
      <c r="K268" s="1"/>
      <c r="L268" s="1"/>
      <c r="M268" s="1"/>
      <c r="N268" s="1"/>
    </row>
    <row r="269" spans="9:14" ht="15.75" customHeight="1" x14ac:dyDescent="0.15">
      <c r="I269" s="1"/>
      <c r="J269" s="1"/>
      <c r="K269" s="1"/>
      <c r="L269" s="1"/>
      <c r="M269" s="1"/>
      <c r="N269" s="1"/>
    </row>
    <row r="270" spans="9:14" ht="15.75" customHeight="1" x14ac:dyDescent="0.15">
      <c r="I270" s="1"/>
      <c r="J270" s="1"/>
      <c r="K270" s="1"/>
      <c r="L270" s="1"/>
      <c r="M270" s="1"/>
      <c r="N270" s="1"/>
    </row>
    <row r="271" spans="9:14" ht="15.75" customHeight="1" x14ac:dyDescent="0.15">
      <c r="I271" s="1"/>
      <c r="J271" s="1"/>
      <c r="K271" s="1"/>
      <c r="L271" s="1"/>
      <c r="M271" s="1"/>
      <c r="N271" s="1"/>
    </row>
    <row r="272" spans="9:14" ht="15.75" customHeight="1" x14ac:dyDescent="0.15">
      <c r="I272" s="1"/>
      <c r="J272" s="1"/>
      <c r="K272" s="1"/>
      <c r="L272" s="1"/>
      <c r="M272" s="1"/>
      <c r="N272" s="1"/>
    </row>
    <row r="273" spans="9:14" ht="15.75" customHeight="1" x14ac:dyDescent="0.15">
      <c r="I273" s="1"/>
      <c r="J273" s="1"/>
      <c r="K273" s="1"/>
      <c r="L273" s="1"/>
      <c r="M273" s="1"/>
      <c r="N273" s="1"/>
    </row>
    <row r="274" spans="9:14" ht="15.75" customHeight="1" x14ac:dyDescent="0.15">
      <c r="I274" s="1"/>
      <c r="J274" s="1"/>
      <c r="K274" s="1"/>
      <c r="L274" s="1"/>
      <c r="M274" s="1"/>
      <c r="N274" s="1"/>
    </row>
    <row r="275" spans="9:14" ht="15.75" customHeight="1" x14ac:dyDescent="0.15">
      <c r="I275" s="1"/>
      <c r="J275" s="1"/>
      <c r="K275" s="1"/>
      <c r="L275" s="1"/>
      <c r="M275" s="1"/>
      <c r="N275" s="1"/>
    </row>
    <row r="276" spans="9:14" ht="15.75" customHeight="1" x14ac:dyDescent="0.15">
      <c r="I276" s="1"/>
      <c r="J276" s="1"/>
      <c r="K276" s="1"/>
      <c r="L276" s="1"/>
      <c r="M276" s="1"/>
      <c r="N276" s="1"/>
    </row>
    <row r="277" spans="9:14" ht="15.75" customHeight="1" x14ac:dyDescent="0.15">
      <c r="I277" s="1"/>
      <c r="J277" s="1"/>
      <c r="K277" s="1"/>
      <c r="L277" s="1"/>
      <c r="M277" s="1"/>
      <c r="N277" s="1"/>
    </row>
    <row r="278" spans="9:14" ht="15.75" customHeight="1" x14ac:dyDescent="0.15">
      <c r="I278" s="1"/>
      <c r="J278" s="1"/>
      <c r="K278" s="1"/>
      <c r="L278" s="1"/>
      <c r="M278" s="1"/>
      <c r="N278" s="1"/>
    </row>
    <row r="279" spans="9:14" ht="15.75" customHeight="1" x14ac:dyDescent="0.15">
      <c r="I279" s="1"/>
      <c r="J279" s="1"/>
      <c r="K279" s="1"/>
      <c r="L279" s="1"/>
      <c r="M279" s="1"/>
      <c r="N279" s="1"/>
    </row>
    <row r="280" spans="9:14" ht="15.75" customHeight="1" x14ac:dyDescent="0.15">
      <c r="I280" s="1"/>
      <c r="J280" s="1"/>
      <c r="K280" s="1"/>
      <c r="L280" s="1"/>
      <c r="M280" s="1"/>
      <c r="N280" s="1"/>
    </row>
    <row r="281" spans="9:14" ht="15.75" customHeight="1" x14ac:dyDescent="0.15">
      <c r="I281" s="1"/>
      <c r="J281" s="1"/>
      <c r="K281" s="1"/>
      <c r="L281" s="1"/>
      <c r="M281" s="1"/>
      <c r="N281" s="1"/>
    </row>
    <row r="282" spans="9:14" ht="15.75" customHeight="1" x14ac:dyDescent="0.15">
      <c r="I282" s="1"/>
      <c r="J282" s="1"/>
      <c r="K282" s="1"/>
      <c r="L282" s="1"/>
      <c r="M282" s="1"/>
      <c r="N282" s="1"/>
    </row>
    <row r="283" spans="9:14" ht="15.75" customHeight="1" x14ac:dyDescent="0.15">
      <c r="I283" s="1"/>
      <c r="J283" s="1"/>
      <c r="K283" s="1"/>
      <c r="L283" s="1"/>
      <c r="M283" s="1"/>
      <c r="N283" s="1"/>
    </row>
    <row r="284" spans="9:14" ht="15.75" customHeight="1" x14ac:dyDescent="0.15">
      <c r="I284" s="1"/>
      <c r="J284" s="1"/>
      <c r="K284" s="1"/>
      <c r="L284" s="1"/>
      <c r="M284" s="1"/>
      <c r="N284" s="1"/>
    </row>
    <row r="285" spans="9:14" ht="15.75" customHeight="1" x14ac:dyDescent="0.15">
      <c r="I285" s="1"/>
      <c r="J285" s="1"/>
      <c r="K285" s="1"/>
      <c r="L285" s="1"/>
      <c r="M285" s="1"/>
      <c r="N285" s="1"/>
    </row>
    <row r="286" spans="9:14" ht="15.75" customHeight="1" x14ac:dyDescent="0.15">
      <c r="I286" s="1"/>
      <c r="J286" s="1"/>
      <c r="K286" s="1"/>
      <c r="L286" s="1"/>
      <c r="M286" s="1"/>
      <c r="N286" s="1"/>
    </row>
    <row r="287" spans="9:14" ht="15.75" customHeight="1" x14ac:dyDescent="0.15">
      <c r="I287" s="1"/>
      <c r="J287" s="1"/>
      <c r="K287" s="1"/>
      <c r="L287" s="1"/>
      <c r="M287" s="1"/>
      <c r="N287" s="1"/>
    </row>
    <row r="288" spans="9:14" ht="15.75" customHeight="1" x14ac:dyDescent="0.15">
      <c r="I288" s="1"/>
      <c r="J288" s="1"/>
      <c r="K288" s="1"/>
      <c r="L288" s="1"/>
      <c r="M288" s="1"/>
      <c r="N288" s="1"/>
    </row>
    <row r="289" spans="9:14" ht="15.75" customHeight="1" x14ac:dyDescent="0.15">
      <c r="I289" s="1"/>
      <c r="J289" s="1"/>
      <c r="K289" s="1"/>
      <c r="L289" s="1"/>
      <c r="M289" s="1"/>
      <c r="N289" s="1"/>
    </row>
    <row r="290" spans="9:14" ht="15.75" customHeight="1" x14ac:dyDescent="0.15">
      <c r="I290" s="1"/>
      <c r="J290" s="1"/>
      <c r="K290" s="1"/>
      <c r="L290" s="1"/>
      <c r="M290" s="1"/>
      <c r="N290" s="1"/>
    </row>
    <row r="291" spans="9:14" ht="15.75" customHeight="1" x14ac:dyDescent="0.15">
      <c r="I291" s="1"/>
      <c r="J291" s="1"/>
      <c r="K291" s="1"/>
      <c r="L291" s="1"/>
      <c r="M291" s="1"/>
      <c r="N291" s="1"/>
    </row>
    <row r="292" spans="9:14" ht="15.75" customHeight="1" x14ac:dyDescent="0.15">
      <c r="I292" s="1"/>
      <c r="J292" s="1"/>
      <c r="K292" s="1"/>
      <c r="L292" s="1"/>
      <c r="M292" s="1"/>
      <c r="N292" s="1"/>
    </row>
    <row r="293" spans="9:14" ht="15.75" customHeight="1" x14ac:dyDescent="0.15">
      <c r="I293" s="1"/>
      <c r="J293" s="1"/>
      <c r="K293" s="1"/>
      <c r="L293" s="1"/>
      <c r="M293" s="1"/>
      <c r="N293" s="1"/>
    </row>
    <row r="294" spans="9:14" ht="15.75" customHeight="1" x14ac:dyDescent="0.15">
      <c r="I294" s="1"/>
      <c r="J294" s="1"/>
      <c r="K294" s="1"/>
      <c r="L294" s="1"/>
      <c r="M294" s="1"/>
      <c r="N294" s="1"/>
    </row>
    <row r="295" spans="9:14" ht="15.75" customHeight="1" x14ac:dyDescent="0.15">
      <c r="I295" s="1"/>
      <c r="J295" s="1"/>
      <c r="K295" s="1"/>
      <c r="L295" s="1"/>
      <c r="M295" s="1"/>
      <c r="N295" s="1"/>
    </row>
    <row r="296" spans="9:14" ht="15.75" customHeight="1" x14ac:dyDescent="0.15">
      <c r="I296" s="1"/>
      <c r="J296" s="1"/>
      <c r="K296" s="1"/>
      <c r="L296" s="1"/>
      <c r="M296" s="1"/>
      <c r="N296" s="1"/>
    </row>
    <row r="297" spans="9:14" ht="15.75" customHeight="1" x14ac:dyDescent="0.15">
      <c r="I297" s="1"/>
      <c r="J297" s="1"/>
      <c r="K297" s="1"/>
      <c r="L297" s="1"/>
      <c r="M297" s="1"/>
      <c r="N297" s="1"/>
    </row>
    <row r="298" spans="9:14" ht="15.75" customHeight="1" x14ac:dyDescent="0.15">
      <c r="I298" s="1"/>
      <c r="J298" s="1"/>
      <c r="K298" s="1"/>
      <c r="L298" s="1"/>
      <c r="M298" s="1"/>
      <c r="N298" s="1"/>
    </row>
    <row r="299" spans="9:14" ht="15.75" customHeight="1" x14ac:dyDescent="0.15">
      <c r="I299" s="1"/>
      <c r="J299" s="1"/>
      <c r="K299" s="1"/>
      <c r="L299" s="1"/>
      <c r="M299" s="1"/>
      <c r="N299" s="1"/>
    </row>
    <row r="300" spans="9:14" ht="15.75" customHeight="1" x14ac:dyDescent="0.15">
      <c r="I300" s="1"/>
      <c r="J300" s="1"/>
      <c r="K300" s="1"/>
      <c r="L300" s="1"/>
      <c r="M300" s="1"/>
      <c r="N300" s="1"/>
    </row>
    <row r="301" spans="9:14" ht="15.75" customHeight="1" x14ac:dyDescent="0.15">
      <c r="I301" s="1"/>
      <c r="J301" s="1"/>
      <c r="K301" s="1"/>
      <c r="L301" s="1"/>
      <c r="M301" s="1"/>
      <c r="N301" s="1"/>
    </row>
    <row r="302" spans="9:14" ht="15.75" customHeight="1" x14ac:dyDescent="0.15">
      <c r="I302" s="1"/>
      <c r="J302" s="1"/>
      <c r="K302" s="1"/>
      <c r="L302" s="1"/>
      <c r="M302" s="1"/>
      <c r="N302" s="1"/>
    </row>
    <row r="303" spans="9:14" ht="15.75" customHeight="1" x14ac:dyDescent="0.15">
      <c r="I303" s="1"/>
      <c r="J303" s="1"/>
      <c r="K303" s="1"/>
      <c r="L303" s="1"/>
      <c r="M303" s="1"/>
      <c r="N303" s="1"/>
    </row>
    <row r="304" spans="9:14" ht="15.75" customHeight="1" x14ac:dyDescent="0.15">
      <c r="I304" s="1"/>
      <c r="J304" s="1"/>
      <c r="K304" s="1"/>
      <c r="L304" s="1"/>
      <c r="M304" s="1"/>
      <c r="N304" s="1"/>
    </row>
    <row r="305" spans="9:14" ht="15.75" customHeight="1" x14ac:dyDescent="0.15">
      <c r="I305" s="1"/>
      <c r="J305" s="1"/>
      <c r="K305" s="1"/>
      <c r="L305" s="1"/>
      <c r="M305" s="1"/>
      <c r="N305" s="1"/>
    </row>
    <row r="306" spans="9:14" ht="15.75" customHeight="1" x14ac:dyDescent="0.15">
      <c r="I306" s="1"/>
      <c r="J306" s="1"/>
      <c r="K306" s="1"/>
      <c r="L306" s="1"/>
      <c r="M306" s="1"/>
      <c r="N306" s="1"/>
    </row>
    <row r="307" spans="9:14" ht="15.75" customHeight="1" x14ac:dyDescent="0.15">
      <c r="I307" s="1"/>
      <c r="J307" s="1"/>
      <c r="K307" s="1"/>
      <c r="L307" s="1"/>
      <c r="M307" s="1"/>
      <c r="N307" s="1"/>
    </row>
    <row r="308" spans="9:14" ht="15.75" customHeight="1" x14ac:dyDescent="0.15">
      <c r="I308" s="1"/>
      <c r="J308" s="1"/>
      <c r="K308" s="1"/>
      <c r="L308" s="1"/>
      <c r="M308" s="1"/>
      <c r="N308" s="1"/>
    </row>
    <row r="309" spans="9:14" ht="15.75" customHeight="1" x14ac:dyDescent="0.15">
      <c r="I309" s="1"/>
      <c r="J309" s="1"/>
      <c r="K309" s="1"/>
      <c r="L309" s="1"/>
      <c r="M309" s="1"/>
      <c r="N309" s="1"/>
    </row>
    <row r="310" spans="9:14" ht="15.75" customHeight="1" x14ac:dyDescent="0.15">
      <c r="I310" s="1"/>
      <c r="J310" s="1"/>
      <c r="K310" s="1"/>
      <c r="L310" s="1"/>
      <c r="M310" s="1"/>
      <c r="N310" s="1"/>
    </row>
    <row r="311" spans="9:14" ht="15.75" customHeight="1" x14ac:dyDescent="0.15">
      <c r="I311" s="1"/>
      <c r="J311" s="1"/>
      <c r="K311" s="1"/>
      <c r="L311" s="1"/>
      <c r="M311" s="1"/>
      <c r="N311" s="1"/>
    </row>
    <row r="312" spans="9:14" ht="15.75" customHeight="1" x14ac:dyDescent="0.15">
      <c r="I312" s="1"/>
      <c r="J312" s="1"/>
      <c r="K312" s="1"/>
      <c r="L312" s="1"/>
      <c r="M312" s="1"/>
      <c r="N312" s="1"/>
    </row>
    <row r="313" spans="9:14" ht="15.75" customHeight="1" x14ac:dyDescent="0.15">
      <c r="I313" s="1"/>
      <c r="J313" s="1"/>
      <c r="K313" s="1"/>
      <c r="L313" s="1"/>
      <c r="M313" s="1"/>
      <c r="N313" s="1"/>
    </row>
    <row r="314" spans="9:14" ht="15.75" customHeight="1" x14ac:dyDescent="0.15">
      <c r="I314" s="1"/>
      <c r="J314" s="1"/>
      <c r="K314" s="1"/>
      <c r="L314" s="1"/>
      <c r="M314" s="1"/>
      <c r="N314" s="1"/>
    </row>
    <row r="315" spans="9:14" ht="15.75" customHeight="1" x14ac:dyDescent="0.15">
      <c r="I315" s="1"/>
      <c r="J315" s="1"/>
      <c r="K315" s="1"/>
      <c r="L315" s="1"/>
      <c r="M315" s="1"/>
      <c r="N315" s="1"/>
    </row>
    <row r="316" spans="9:14" ht="15.75" customHeight="1" x14ac:dyDescent="0.15">
      <c r="I316" s="1"/>
      <c r="J316" s="1"/>
      <c r="K316" s="1"/>
      <c r="L316" s="1"/>
      <c r="M316" s="1"/>
      <c r="N316" s="1"/>
    </row>
    <row r="317" spans="9:14" ht="15.75" customHeight="1" x14ac:dyDescent="0.15">
      <c r="I317" s="1"/>
      <c r="J317" s="1"/>
      <c r="K317" s="1"/>
      <c r="L317" s="1"/>
      <c r="M317" s="1"/>
      <c r="N317" s="1"/>
    </row>
    <row r="318" spans="9:14" ht="15.75" customHeight="1" x14ac:dyDescent="0.15">
      <c r="I318" s="1"/>
      <c r="J318" s="1"/>
      <c r="K318" s="1"/>
      <c r="L318" s="1"/>
      <c r="M318" s="1"/>
      <c r="N318" s="1"/>
    </row>
    <row r="319" spans="9:14" ht="15.75" customHeight="1" x14ac:dyDescent="0.15">
      <c r="I319" s="1"/>
      <c r="J319" s="1"/>
      <c r="K319" s="1"/>
      <c r="L319" s="1"/>
      <c r="M319" s="1"/>
      <c r="N319" s="1"/>
    </row>
    <row r="320" spans="9:14" ht="15.75" customHeight="1" x14ac:dyDescent="0.15">
      <c r="I320" s="1"/>
      <c r="J320" s="1"/>
      <c r="K320" s="1"/>
      <c r="L320" s="1"/>
      <c r="M320" s="1"/>
      <c r="N320" s="1"/>
    </row>
    <row r="321" spans="9:14" ht="15.75" customHeight="1" x14ac:dyDescent="0.15">
      <c r="I321" s="1"/>
      <c r="J321" s="1"/>
      <c r="K321" s="1"/>
      <c r="L321" s="1"/>
      <c r="M321" s="1"/>
      <c r="N321" s="1"/>
    </row>
    <row r="322" spans="9:14" ht="15.75" customHeight="1" x14ac:dyDescent="0.15">
      <c r="I322" s="1"/>
      <c r="J322" s="1"/>
      <c r="K322" s="1"/>
      <c r="L322" s="1"/>
      <c r="M322" s="1"/>
      <c r="N322" s="1"/>
    </row>
    <row r="323" spans="9:14" ht="15.75" customHeight="1" x14ac:dyDescent="0.15">
      <c r="I323" s="1"/>
      <c r="J323" s="1"/>
      <c r="K323" s="1"/>
      <c r="L323" s="1"/>
      <c r="M323" s="1"/>
      <c r="N323" s="1"/>
    </row>
    <row r="324" spans="9:14" ht="15.75" customHeight="1" x14ac:dyDescent="0.15">
      <c r="I324" s="1"/>
      <c r="J324" s="1"/>
      <c r="K324" s="1"/>
      <c r="L324" s="1"/>
      <c r="M324" s="1"/>
      <c r="N324" s="1"/>
    </row>
    <row r="325" spans="9:14" ht="15.75" customHeight="1" x14ac:dyDescent="0.15">
      <c r="I325" s="1"/>
      <c r="J325" s="1"/>
      <c r="K325" s="1"/>
      <c r="L325" s="1"/>
      <c r="M325" s="1"/>
      <c r="N325" s="1"/>
    </row>
    <row r="326" spans="9:14" ht="15.75" customHeight="1" x14ac:dyDescent="0.15">
      <c r="I326" s="1"/>
      <c r="J326" s="1"/>
      <c r="K326" s="1"/>
      <c r="L326" s="1"/>
      <c r="M326" s="1"/>
      <c r="N326" s="1"/>
    </row>
    <row r="327" spans="9:14" ht="15.75" customHeight="1" x14ac:dyDescent="0.15">
      <c r="I327" s="1"/>
      <c r="J327" s="1"/>
      <c r="K327" s="1"/>
      <c r="L327" s="1"/>
      <c r="M327" s="1"/>
      <c r="N327" s="1"/>
    </row>
    <row r="328" spans="9:14" ht="15.75" customHeight="1" x14ac:dyDescent="0.15">
      <c r="I328" s="1"/>
      <c r="J328" s="1"/>
      <c r="K328" s="1"/>
      <c r="L328" s="1"/>
      <c r="M328" s="1"/>
      <c r="N328" s="1"/>
    </row>
    <row r="329" spans="9:14" ht="15.75" customHeight="1" x14ac:dyDescent="0.15">
      <c r="I329" s="1"/>
      <c r="J329" s="1"/>
      <c r="K329" s="1"/>
      <c r="L329" s="1"/>
      <c r="M329" s="1"/>
      <c r="N329" s="1"/>
    </row>
    <row r="330" spans="9:14" ht="15.75" customHeight="1" x14ac:dyDescent="0.15">
      <c r="I330" s="1"/>
      <c r="J330" s="1"/>
      <c r="K330" s="1"/>
      <c r="L330" s="1"/>
      <c r="M330" s="1"/>
      <c r="N330" s="1"/>
    </row>
    <row r="331" spans="9:14" ht="15.75" customHeight="1" x14ac:dyDescent="0.15">
      <c r="I331" s="1"/>
      <c r="J331" s="1"/>
      <c r="K331" s="1"/>
      <c r="L331" s="1"/>
      <c r="M331" s="1"/>
      <c r="N331" s="1"/>
    </row>
    <row r="332" spans="9:14" ht="15.75" customHeight="1" x14ac:dyDescent="0.15">
      <c r="I332" s="1"/>
      <c r="J332" s="1"/>
      <c r="K332" s="1"/>
      <c r="L332" s="1"/>
      <c r="M332" s="1"/>
      <c r="N332" s="1"/>
    </row>
    <row r="333" spans="9:14" ht="15.75" customHeight="1" x14ac:dyDescent="0.15">
      <c r="I333" s="1"/>
      <c r="J333" s="1"/>
      <c r="K333" s="1"/>
      <c r="L333" s="1"/>
      <c r="M333" s="1"/>
      <c r="N333" s="1"/>
    </row>
    <row r="334" spans="9:14" ht="15.75" customHeight="1" x14ac:dyDescent="0.15">
      <c r="I334" s="1"/>
      <c r="J334" s="1"/>
      <c r="K334" s="1"/>
      <c r="L334" s="1"/>
      <c r="M334" s="1"/>
      <c r="N334" s="1"/>
    </row>
    <row r="335" spans="9:14" ht="15.75" customHeight="1" x14ac:dyDescent="0.15">
      <c r="I335" s="1"/>
      <c r="J335" s="1"/>
      <c r="K335" s="1"/>
      <c r="L335" s="1"/>
      <c r="M335" s="1"/>
      <c r="N335" s="1"/>
    </row>
    <row r="336" spans="9:14" ht="15.75" customHeight="1" x14ac:dyDescent="0.15">
      <c r="I336" s="1"/>
      <c r="J336" s="1"/>
      <c r="K336" s="1"/>
      <c r="L336" s="1"/>
      <c r="M336" s="1"/>
      <c r="N336" s="1"/>
    </row>
    <row r="337" spans="9:14" ht="15.75" customHeight="1" x14ac:dyDescent="0.15">
      <c r="I337" s="1"/>
      <c r="J337" s="1"/>
      <c r="K337" s="1"/>
      <c r="L337" s="1"/>
      <c r="M337" s="1"/>
      <c r="N337" s="1"/>
    </row>
    <row r="338" spans="9:14" ht="15.75" customHeight="1" x14ac:dyDescent="0.15">
      <c r="I338" s="1"/>
      <c r="J338" s="1"/>
      <c r="K338" s="1"/>
      <c r="L338" s="1"/>
      <c r="M338" s="1"/>
      <c r="N338" s="1"/>
    </row>
    <row r="339" spans="9:14" ht="15.75" customHeight="1" x14ac:dyDescent="0.15">
      <c r="I339" s="1"/>
      <c r="J339" s="1"/>
      <c r="K339" s="1"/>
      <c r="L339" s="1"/>
      <c r="M339" s="1"/>
      <c r="N339" s="1"/>
    </row>
    <row r="340" spans="9:14" ht="15.75" customHeight="1" x14ac:dyDescent="0.15">
      <c r="I340" s="1"/>
      <c r="J340" s="1"/>
      <c r="K340" s="1"/>
      <c r="L340" s="1"/>
      <c r="M340" s="1"/>
      <c r="N340" s="1"/>
    </row>
    <row r="341" spans="9:14" ht="15.75" customHeight="1" x14ac:dyDescent="0.15">
      <c r="I341" s="1"/>
      <c r="J341" s="1"/>
      <c r="K341" s="1"/>
      <c r="L341" s="1"/>
      <c r="M341" s="1"/>
      <c r="N341" s="1"/>
    </row>
    <row r="342" spans="9:14" ht="15.75" customHeight="1" x14ac:dyDescent="0.15">
      <c r="I342" s="1"/>
      <c r="J342" s="1"/>
      <c r="K342" s="1"/>
      <c r="L342" s="1"/>
      <c r="M342" s="1"/>
      <c r="N342" s="1"/>
    </row>
    <row r="343" spans="9:14" ht="15.75" customHeight="1" x14ac:dyDescent="0.15">
      <c r="I343" s="1"/>
      <c r="J343" s="1"/>
      <c r="K343" s="1"/>
      <c r="L343" s="1"/>
      <c r="M343" s="1"/>
      <c r="N343" s="1"/>
    </row>
    <row r="344" spans="9:14" ht="15.75" customHeight="1" x14ac:dyDescent="0.15">
      <c r="I344" s="1"/>
      <c r="J344" s="1"/>
      <c r="K344" s="1"/>
      <c r="L344" s="1"/>
      <c r="M344" s="1"/>
      <c r="N344" s="1"/>
    </row>
    <row r="345" spans="9:14" ht="15.75" customHeight="1" x14ac:dyDescent="0.15">
      <c r="I345" s="1"/>
      <c r="J345" s="1"/>
      <c r="K345" s="1"/>
      <c r="L345" s="1"/>
      <c r="M345" s="1"/>
      <c r="N345" s="1"/>
    </row>
    <row r="346" spans="9:14" ht="15.75" customHeight="1" x14ac:dyDescent="0.15">
      <c r="I346" s="1"/>
      <c r="J346" s="1"/>
      <c r="K346" s="1"/>
      <c r="L346" s="1"/>
      <c r="M346" s="1"/>
      <c r="N346" s="1"/>
    </row>
    <row r="347" spans="9:14" ht="15.75" customHeight="1" x14ac:dyDescent="0.15">
      <c r="I347" s="1"/>
      <c r="J347" s="1"/>
      <c r="K347" s="1"/>
      <c r="L347" s="1"/>
      <c r="M347" s="1"/>
      <c r="N347" s="1"/>
    </row>
    <row r="348" spans="9:14" ht="15.75" customHeight="1" x14ac:dyDescent="0.15">
      <c r="I348" s="1"/>
      <c r="J348" s="1"/>
      <c r="K348" s="1"/>
      <c r="L348" s="1"/>
      <c r="M348" s="1"/>
      <c r="N348" s="1"/>
    </row>
    <row r="349" spans="9:14" ht="15.75" customHeight="1" x14ac:dyDescent="0.15">
      <c r="I349" s="1"/>
      <c r="J349" s="1"/>
      <c r="K349" s="1"/>
      <c r="L349" s="1"/>
      <c r="M349" s="1"/>
      <c r="N349" s="1"/>
    </row>
    <row r="350" spans="9:14" ht="15.75" customHeight="1" x14ac:dyDescent="0.15">
      <c r="I350" s="1"/>
      <c r="J350" s="1"/>
      <c r="K350" s="1"/>
      <c r="L350" s="1"/>
      <c r="M350" s="1"/>
      <c r="N350" s="1"/>
    </row>
    <row r="351" spans="9:14" ht="15.75" customHeight="1" x14ac:dyDescent="0.15">
      <c r="I351" s="1"/>
      <c r="J351" s="1"/>
      <c r="K351" s="1"/>
      <c r="L351" s="1"/>
      <c r="M351" s="1"/>
      <c r="N351" s="1"/>
    </row>
    <row r="352" spans="9:14" ht="15.75" customHeight="1" x14ac:dyDescent="0.15">
      <c r="I352" s="1"/>
      <c r="J352" s="1"/>
      <c r="K352" s="1"/>
      <c r="L352" s="1"/>
      <c r="M352" s="1"/>
      <c r="N352" s="1"/>
    </row>
    <row r="353" spans="9:14" ht="15.75" customHeight="1" x14ac:dyDescent="0.15">
      <c r="I353" s="1"/>
      <c r="J353" s="1"/>
      <c r="K353" s="1"/>
      <c r="L353" s="1"/>
      <c r="M353" s="1"/>
      <c r="N353" s="1"/>
    </row>
    <row r="354" spans="9:14" ht="15.75" customHeight="1" x14ac:dyDescent="0.15">
      <c r="I354" s="1"/>
      <c r="J354" s="1"/>
      <c r="K354" s="1"/>
      <c r="L354" s="1"/>
      <c r="M354" s="1"/>
      <c r="N354" s="1"/>
    </row>
    <row r="355" spans="9:14" ht="15.75" customHeight="1" x14ac:dyDescent="0.15">
      <c r="I355" s="1"/>
      <c r="J355" s="1"/>
      <c r="K355" s="1"/>
      <c r="L355" s="1"/>
      <c r="M355" s="1"/>
      <c r="N355" s="1"/>
    </row>
    <row r="356" spans="9:14" ht="15.75" customHeight="1" x14ac:dyDescent="0.15">
      <c r="I356" s="1"/>
      <c r="J356" s="1"/>
      <c r="K356" s="1"/>
      <c r="L356" s="1"/>
      <c r="M356" s="1"/>
      <c r="N356" s="1"/>
    </row>
    <row r="357" spans="9:14" ht="15.75" customHeight="1" x14ac:dyDescent="0.15">
      <c r="I357" s="1"/>
      <c r="J357" s="1"/>
      <c r="K357" s="1"/>
      <c r="L357" s="1"/>
      <c r="M357" s="1"/>
      <c r="N357" s="1"/>
    </row>
    <row r="358" spans="9:14" ht="15.75" customHeight="1" x14ac:dyDescent="0.15">
      <c r="I358" s="1"/>
      <c r="J358" s="1"/>
      <c r="K358" s="1"/>
      <c r="L358" s="1"/>
      <c r="M358" s="1"/>
      <c r="N358" s="1"/>
    </row>
    <row r="359" spans="9:14" ht="15.75" customHeight="1" x14ac:dyDescent="0.15">
      <c r="I359" s="1"/>
      <c r="J359" s="1"/>
      <c r="K359" s="1"/>
      <c r="L359" s="1"/>
      <c r="M359" s="1"/>
      <c r="N359" s="1"/>
    </row>
    <row r="360" spans="9:14" ht="15.75" customHeight="1" x14ac:dyDescent="0.15">
      <c r="I360" s="1"/>
      <c r="J360" s="1"/>
      <c r="K360" s="1"/>
      <c r="L360" s="1"/>
      <c r="M360" s="1"/>
      <c r="N360" s="1"/>
    </row>
    <row r="361" spans="9:14" ht="15.75" customHeight="1" x14ac:dyDescent="0.15">
      <c r="I361" s="1"/>
      <c r="J361" s="1"/>
      <c r="K361" s="1"/>
      <c r="L361" s="1"/>
      <c r="M361" s="1"/>
      <c r="N361" s="1"/>
    </row>
    <row r="362" spans="9:14" ht="15.75" customHeight="1" x14ac:dyDescent="0.15">
      <c r="I362" s="1"/>
      <c r="J362" s="1"/>
      <c r="K362" s="1"/>
      <c r="L362" s="1"/>
      <c r="M362" s="1"/>
      <c r="N362" s="1"/>
    </row>
    <row r="363" spans="9:14" ht="15.75" customHeight="1" x14ac:dyDescent="0.15">
      <c r="I363" s="1"/>
      <c r="J363" s="1"/>
      <c r="K363" s="1"/>
      <c r="L363" s="1"/>
      <c r="M363" s="1"/>
      <c r="N363" s="1"/>
    </row>
    <row r="364" spans="9:14" ht="15.75" customHeight="1" x14ac:dyDescent="0.15">
      <c r="I364" s="1"/>
      <c r="J364" s="1"/>
      <c r="K364" s="1"/>
      <c r="L364" s="1"/>
      <c r="M364" s="1"/>
      <c r="N364" s="1"/>
    </row>
    <row r="365" spans="9:14" ht="15.75" customHeight="1" x14ac:dyDescent="0.15">
      <c r="I365" s="1"/>
      <c r="J365" s="1"/>
      <c r="K365" s="1"/>
      <c r="L365" s="1"/>
      <c r="M365" s="1"/>
      <c r="N365" s="1"/>
    </row>
    <row r="366" spans="9:14" ht="15.75" customHeight="1" x14ac:dyDescent="0.15">
      <c r="I366" s="1"/>
      <c r="J366" s="1"/>
      <c r="K366" s="1"/>
      <c r="L366" s="1"/>
      <c r="M366" s="1"/>
      <c r="N366" s="1"/>
    </row>
    <row r="367" spans="9:14" ht="15.75" customHeight="1" x14ac:dyDescent="0.15">
      <c r="I367" s="1"/>
      <c r="J367" s="1"/>
      <c r="K367" s="1"/>
      <c r="L367" s="1"/>
      <c r="M367" s="1"/>
      <c r="N367" s="1"/>
    </row>
    <row r="368" spans="9:14" ht="15.75" customHeight="1" x14ac:dyDescent="0.15">
      <c r="I368" s="1"/>
      <c r="J368" s="1"/>
      <c r="K368" s="1"/>
      <c r="L368" s="1"/>
      <c r="M368" s="1"/>
      <c r="N368" s="1"/>
    </row>
    <row r="369" spans="9:14" ht="15.75" customHeight="1" x14ac:dyDescent="0.15">
      <c r="I369" s="1"/>
      <c r="J369" s="1"/>
      <c r="K369" s="1"/>
      <c r="L369" s="1"/>
      <c r="M369" s="1"/>
      <c r="N369" s="1"/>
    </row>
    <row r="370" spans="9:14" ht="15.75" customHeight="1" x14ac:dyDescent="0.15">
      <c r="I370" s="1"/>
      <c r="J370" s="1"/>
      <c r="K370" s="1"/>
      <c r="L370" s="1"/>
      <c r="M370" s="1"/>
      <c r="N370" s="1"/>
    </row>
    <row r="371" spans="9:14" ht="15.75" customHeight="1" x14ac:dyDescent="0.15">
      <c r="I371" s="1"/>
      <c r="J371" s="1"/>
      <c r="K371" s="1"/>
      <c r="L371" s="1"/>
      <c r="M371" s="1"/>
      <c r="N371" s="1"/>
    </row>
    <row r="372" spans="9:14" ht="15.75" customHeight="1" x14ac:dyDescent="0.15">
      <c r="I372" s="1"/>
      <c r="J372" s="1"/>
      <c r="K372" s="1"/>
      <c r="L372" s="1"/>
      <c r="M372" s="1"/>
      <c r="N372" s="1"/>
    </row>
    <row r="373" spans="9:14" ht="15.75" customHeight="1" x14ac:dyDescent="0.15">
      <c r="I373" s="1"/>
      <c r="J373" s="1"/>
      <c r="K373" s="1"/>
      <c r="L373" s="1"/>
      <c r="M373" s="1"/>
      <c r="N373" s="1"/>
    </row>
    <row r="374" spans="9:14" ht="15.75" customHeight="1" x14ac:dyDescent="0.15">
      <c r="I374" s="1"/>
      <c r="J374" s="1"/>
      <c r="K374" s="1"/>
      <c r="L374" s="1"/>
      <c r="M374" s="1"/>
      <c r="N374" s="1"/>
    </row>
    <row r="375" spans="9:14" ht="15.75" customHeight="1" x14ac:dyDescent="0.15">
      <c r="I375" s="1"/>
      <c r="J375" s="1"/>
      <c r="K375" s="1"/>
      <c r="L375" s="1"/>
      <c r="M375" s="1"/>
      <c r="N375" s="1"/>
    </row>
    <row r="376" spans="9:14" ht="15.75" customHeight="1" x14ac:dyDescent="0.15">
      <c r="I376" s="1"/>
      <c r="J376" s="1"/>
      <c r="K376" s="1"/>
      <c r="L376" s="1"/>
      <c r="M376" s="1"/>
      <c r="N376" s="1"/>
    </row>
    <row r="377" spans="9:14" ht="15.75" customHeight="1" x14ac:dyDescent="0.15">
      <c r="I377" s="1"/>
      <c r="J377" s="1"/>
      <c r="K377" s="1"/>
      <c r="L377" s="1"/>
      <c r="M377" s="1"/>
      <c r="N377" s="1"/>
    </row>
    <row r="378" spans="9:14" ht="15.75" customHeight="1" x14ac:dyDescent="0.15">
      <c r="I378" s="1"/>
      <c r="J378" s="1"/>
      <c r="K378" s="1"/>
      <c r="L378" s="1"/>
      <c r="M378" s="1"/>
      <c r="N378" s="1"/>
    </row>
    <row r="379" spans="9:14" ht="15.75" customHeight="1" x14ac:dyDescent="0.15">
      <c r="I379" s="1"/>
      <c r="J379" s="1"/>
      <c r="K379" s="1"/>
      <c r="L379" s="1"/>
      <c r="M379" s="1"/>
      <c r="N379" s="1"/>
    </row>
    <row r="380" spans="9:14" ht="15.75" customHeight="1" x14ac:dyDescent="0.15">
      <c r="I380" s="1"/>
      <c r="J380" s="1"/>
      <c r="K380" s="1"/>
      <c r="L380" s="1"/>
      <c r="M380" s="1"/>
      <c r="N380" s="1"/>
    </row>
    <row r="381" spans="9:14" ht="15.75" customHeight="1" x14ac:dyDescent="0.15">
      <c r="I381" s="1"/>
      <c r="J381" s="1"/>
      <c r="K381" s="1"/>
      <c r="L381" s="1"/>
      <c r="M381" s="1"/>
      <c r="N381" s="1"/>
    </row>
    <row r="382" spans="9:14" ht="15.75" customHeight="1" x14ac:dyDescent="0.15">
      <c r="I382" s="1"/>
      <c r="J382" s="1"/>
      <c r="K382" s="1"/>
      <c r="L382" s="1"/>
      <c r="M382" s="1"/>
      <c r="N382" s="1"/>
    </row>
    <row r="383" spans="9:14" ht="15.75" customHeight="1" x14ac:dyDescent="0.15">
      <c r="I383" s="1"/>
      <c r="J383" s="1"/>
      <c r="K383" s="1"/>
      <c r="L383" s="1"/>
      <c r="M383" s="1"/>
      <c r="N383" s="1"/>
    </row>
    <row r="384" spans="9:14" ht="15.75" customHeight="1" x14ac:dyDescent="0.15">
      <c r="I384" s="1"/>
      <c r="J384" s="1"/>
      <c r="K384" s="1"/>
      <c r="L384" s="1"/>
      <c r="M384" s="1"/>
      <c r="N384" s="1"/>
    </row>
    <row r="385" spans="9:14" ht="15.75" customHeight="1" x14ac:dyDescent="0.15">
      <c r="I385" s="1"/>
      <c r="J385" s="1"/>
      <c r="K385" s="1"/>
      <c r="L385" s="1"/>
      <c r="M385" s="1"/>
      <c r="N385" s="1"/>
    </row>
    <row r="386" spans="9:14" ht="15.75" customHeight="1" x14ac:dyDescent="0.15">
      <c r="I386" s="1"/>
      <c r="J386" s="1"/>
      <c r="K386" s="1"/>
      <c r="L386" s="1"/>
      <c r="M386" s="1"/>
      <c r="N386" s="1"/>
    </row>
    <row r="387" spans="9:14" ht="15.75" customHeight="1" x14ac:dyDescent="0.15">
      <c r="I387" s="1"/>
      <c r="J387" s="1"/>
      <c r="K387" s="1"/>
      <c r="L387" s="1"/>
      <c r="M387" s="1"/>
      <c r="N387" s="1"/>
    </row>
    <row r="388" spans="9:14" ht="15.75" customHeight="1" x14ac:dyDescent="0.15">
      <c r="I388" s="1"/>
      <c r="J388" s="1"/>
      <c r="K388" s="1"/>
      <c r="L388" s="1"/>
      <c r="M388" s="1"/>
      <c r="N388" s="1"/>
    </row>
    <row r="389" spans="9:14" ht="15.75" customHeight="1" x14ac:dyDescent="0.15">
      <c r="I389" s="1"/>
      <c r="J389" s="1"/>
      <c r="K389" s="1"/>
      <c r="L389" s="1"/>
      <c r="M389" s="1"/>
      <c r="N389" s="1"/>
    </row>
    <row r="390" spans="9:14" ht="15.75" customHeight="1" x14ac:dyDescent="0.15">
      <c r="I390" s="1"/>
      <c r="J390" s="1"/>
      <c r="K390" s="1"/>
      <c r="L390" s="1"/>
      <c r="M390" s="1"/>
      <c r="N390" s="1"/>
    </row>
    <row r="391" spans="9:14" ht="15.75" customHeight="1" x14ac:dyDescent="0.15">
      <c r="I391" s="1"/>
      <c r="J391" s="1"/>
      <c r="K391" s="1"/>
      <c r="L391" s="1"/>
      <c r="M391" s="1"/>
      <c r="N391" s="1"/>
    </row>
    <row r="392" spans="9:14" ht="15.75" customHeight="1" x14ac:dyDescent="0.15">
      <c r="I392" s="1"/>
      <c r="J392" s="1"/>
      <c r="K392" s="1"/>
      <c r="L392" s="1"/>
      <c r="M392" s="1"/>
      <c r="N392" s="1"/>
    </row>
    <row r="393" spans="9:14" ht="15.75" customHeight="1" x14ac:dyDescent="0.15">
      <c r="I393" s="1"/>
      <c r="J393" s="1"/>
      <c r="K393" s="1"/>
      <c r="L393" s="1"/>
      <c r="M393" s="1"/>
      <c r="N393" s="1"/>
    </row>
    <row r="394" spans="9:14" ht="15.75" customHeight="1" x14ac:dyDescent="0.15">
      <c r="I394" s="1"/>
      <c r="J394" s="1"/>
      <c r="K394" s="1"/>
      <c r="L394" s="1"/>
      <c r="M394" s="1"/>
      <c r="N394" s="1"/>
    </row>
    <row r="395" spans="9:14" ht="15.75" customHeight="1" x14ac:dyDescent="0.15">
      <c r="I395" s="1"/>
      <c r="J395" s="1"/>
      <c r="K395" s="1"/>
      <c r="L395" s="1"/>
      <c r="M395" s="1"/>
      <c r="N395" s="1"/>
    </row>
    <row r="396" spans="9:14" ht="15.75" customHeight="1" x14ac:dyDescent="0.15">
      <c r="I396" s="1"/>
      <c r="J396" s="1"/>
      <c r="K396" s="1"/>
      <c r="L396" s="1"/>
      <c r="M396" s="1"/>
      <c r="N396" s="1"/>
    </row>
    <row r="397" spans="9:14" ht="15.75" customHeight="1" x14ac:dyDescent="0.15">
      <c r="I397" s="1"/>
      <c r="J397" s="1"/>
      <c r="K397" s="1"/>
      <c r="L397" s="1"/>
      <c r="M397" s="1"/>
      <c r="N397" s="1"/>
    </row>
    <row r="398" spans="9:14" ht="15.75" customHeight="1" x14ac:dyDescent="0.15">
      <c r="I398" s="1"/>
      <c r="J398" s="1"/>
      <c r="K398" s="1"/>
      <c r="L398" s="1"/>
      <c r="M398" s="1"/>
      <c r="N398" s="1"/>
    </row>
    <row r="399" spans="9:14" ht="15.75" customHeight="1" x14ac:dyDescent="0.15">
      <c r="I399" s="1"/>
      <c r="J399" s="1"/>
      <c r="K399" s="1"/>
      <c r="L399" s="1"/>
      <c r="M399" s="1"/>
      <c r="N399" s="1"/>
    </row>
    <row r="400" spans="9:14" ht="15.75" customHeight="1" x14ac:dyDescent="0.15">
      <c r="I400" s="1"/>
      <c r="J400" s="1"/>
      <c r="K400" s="1"/>
      <c r="L400" s="1"/>
      <c r="M400" s="1"/>
      <c r="N400" s="1"/>
    </row>
    <row r="401" spans="9:14" ht="15.75" customHeight="1" x14ac:dyDescent="0.15">
      <c r="I401" s="1"/>
      <c r="J401" s="1"/>
      <c r="K401" s="1"/>
      <c r="L401" s="1"/>
      <c r="M401" s="1"/>
      <c r="N401" s="1"/>
    </row>
    <row r="402" spans="9:14" ht="15.75" customHeight="1" x14ac:dyDescent="0.15">
      <c r="I402" s="1"/>
      <c r="J402" s="1"/>
      <c r="K402" s="1"/>
      <c r="L402" s="1"/>
      <c r="M402" s="1"/>
      <c r="N402" s="1"/>
    </row>
    <row r="403" spans="9:14" ht="15.75" customHeight="1" x14ac:dyDescent="0.15">
      <c r="I403" s="1"/>
      <c r="J403" s="1"/>
      <c r="K403" s="1"/>
      <c r="L403" s="1"/>
      <c r="M403" s="1"/>
      <c r="N403" s="1"/>
    </row>
    <row r="404" spans="9:14" ht="15.75" customHeight="1" x14ac:dyDescent="0.15">
      <c r="I404" s="1"/>
      <c r="J404" s="1"/>
      <c r="K404" s="1"/>
      <c r="L404" s="1"/>
      <c r="M404" s="1"/>
      <c r="N404" s="1"/>
    </row>
    <row r="405" spans="9:14" ht="15.75" customHeight="1" x14ac:dyDescent="0.15">
      <c r="I405" s="1"/>
      <c r="J405" s="1"/>
      <c r="K405" s="1"/>
      <c r="L405" s="1"/>
      <c r="M405" s="1"/>
      <c r="N405" s="1"/>
    </row>
    <row r="406" spans="9:14" ht="15.75" customHeight="1" x14ac:dyDescent="0.15">
      <c r="I406" s="1"/>
      <c r="J406" s="1"/>
      <c r="K406" s="1"/>
      <c r="L406" s="1"/>
      <c r="M406" s="1"/>
      <c r="N406" s="1"/>
    </row>
    <row r="407" spans="9:14" ht="15.75" customHeight="1" x14ac:dyDescent="0.15">
      <c r="I407" s="1"/>
      <c r="J407" s="1"/>
      <c r="K407" s="1"/>
      <c r="L407" s="1"/>
      <c r="M407" s="1"/>
      <c r="N407" s="1"/>
    </row>
    <row r="408" spans="9:14" ht="15.75" customHeight="1" x14ac:dyDescent="0.15">
      <c r="I408" s="1"/>
      <c r="J408" s="1"/>
      <c r="K408" s="1"/>
      <c r="L408" s="1"/>
      <c r="M408" s="1"/>
      <c r="N408" s="1"/>
    </row>
    <row r="409" spans="9:14" ht="15.75" customHeight="1" x14ac:dyDescent="0.15">
      <c r="I409" s="1"/>
      <c r="J409" s="1"/>
      <c r="K409" s="1"/>
      <c r="L409" s="1"/>
      <c r="M409" s="1"/>
      <c r="N409" s="1"/>
    </row>
    <row r="410" spans="9:14" ht="15.75" customHeight="1" x14ac:dyDescent="0.15">
      <c r="I410" s="1"/>
      <c r="J410" s="1"/>
      <c r="K410" s="1"/>
      <c r="L410" s="1"/>
      <c r="M410" s="1"/>
      <c r="N410" s="1"/>
    </row>
    <row r="411" spans="9:14" ht="15.75" customHeight="1" x14ac:dyDescent="0.15">
      <c r="I411" s="1"/>
      <c r="J411" s="1"/>
      <c r="K411" s="1"/>
      <c r="L411" s="1"/>
      <c r="M411" s="1"/>
      <c r="N411" s="1"/>
    </row>
    <row r="412" spans="9:14" ht="15.75" customHeight="1" x14ac:dyDescent="0.15">
      <c r="I412" s="1"/>
      <c r="J412" s="1"/>
      <c r="K412" s="1"/>
      <c r="L412" s="1"/>
      <c r="M412" s="1"/>
      <c r="N412" s="1"/>
    </row>
    <row r="413" spans="9:14" ht="15.75" customHeight="1" x14ac:dyDescent="0.15">
      <c r="I413" s="1"/>
      <c r="J413" s="1"/>
      <c r="K413" s="1"/>
      <c r="L413" s="1"/>
      <c r="M413" s="1"/>
      <c r="N413" s="1"/>
    </row>
    <row r="414" spans="9:14" ht="15.75" customHeight="1" x14ac:dyDescent="0.15">
      <c r="I414" s="1"/>
      <c r="J414" s="1"/>
      <c r="K414" s="1"/>
      <c r="L414" s="1"/>
      <c r="M414" s="1"/>
      <c r="N414" s="1"/>
    </row>
    <row r="415" spans="9:14" ht="15.75" customHeight="1" x14ac:dyDescent="0.15">
      <c r="I415" s="1"/>
      <c r="J415" s="1"/>
      <c r="K415" s="1"/>
      <c r="L415" s="1"/>
      <c r="M415" s="1"/>
      <c r="N415" s="1"/>
    </row>
    <row r="416" spans="9:14" ht="15.75" customHeight="1" x14ac:dyDescent="0.15">
      <c r="I416" s="1"/>
      <c r="J416" s="1"/>
      <c r="K416" s="1"/>
      <c r="L416" s="1"/>
      <c r="M416" s="1"/>
      <c r="N416" s="1"/>
    </row>
    <row r="417" spans="9:14" ht="15.75" customHeight="1" x14ac:dyDescent="0.15">
      <c r="I417" s="1"/>
      <c r="J417" s="1"/>
      <c r="K417" s="1"/>
      <c r="L417" s="1"/>
      <c r="M417" s="1"/>
      <c r="N417" s="1"/>
    </row>
    <row r="418" spans="9:14" ht="15.75" customHeight="1" x14ac:dyDescent="0.15">
      <c r="I418" s="1"/>
      <c r="J418" s="1"/>
      <c r="K418" s="1"/>
      <c r="L418" s="1"/>
      <c r="M418" s="1"/>
      <c r="N418" s="1"/>
    </row>
    <row r="419" spans="9:14" ht="15.75" customHeight="1" x14ac:dyDescent="0.15">
      <c r="I419" s="1"/>
      <c r="J419" s="1"/>
      <c r="K419" s="1"/>
      <c r="L419" s="1"/>
      <c r="M419" s="1"/>
      <c r="N419" s="1"/>
    </row>
    <row r="420" spans="9:14" ht="15.75" customHeight="1" x14ac:dyDescent="0.15">
      <c r="I420" s="1"/>
      <c r="J420" s="1"/>
      <c r="K420" s="1"/>
      <c r="L420" s="1"/>
      <c r="M420" s="1"/>
      <c r="N420" s="1"/>
    </row>
    <row r="421" spans="9:14" ht="15.75" customHeight="1" x14ac:dyDescent="0.15">
      <c r="I421" s="1"/>
      <c r="J421" s="1"/>
      <c r="K421" s="1"/>
      <c r="L421" s="1"/>
      <c r="M421" s="1"/>
      <c r="N421" s="1"/>
    </row>
    <row r="422" spans="9:14" ht="15.75" customHeight="1" x14ac:dyDescent="0.15">
      <c r="I422" s="1"/>
      <c r="J422" s="1"/>
      <c r="K422" s="1"/>
      <c r="L422" s="1"/>
      <c r="M422" s="1"/>
      <c r="N422" s="1"/>
    </row>
    <row r="423" spans="9:14" ht="15.75" customHeight="1" x14ac:dyDescent="0.15">
      <c r="I423" s="1"/>
      <c r="J423" s="1"/>
      <c r="K423" s="1"/>
      <c r="L423" s="1"/>
      <c r="M423" s="1"/>
      <c r="N423" s="1"/>
    </row>
    <row r="424" spans="9:14" ht="15.75" customHeight="1" x14ac:dyDescent="0.15">
      <c r="I424" s="1"/>
      <c r="J424" s="1"/>
      <c r="K424" s="1"/>
      <c r="L424" s="1"/>
      <c r="M424" s="1"/>
      <c r="N424" s="1"/>
    </row>
    <row r="425" spans="9:14" ht="15.75" customHeight="1" x14ac:dyDescent="0.15">
      <c r="I425" s="1"/>
      <c r="J425" s="1"/>
      <c r="K425" s="1"/>
      <c r="L425" s="1"/>
      <c r="M425" s="1"/>
      <c r="N425" s="1"/>
    </row>
    <row r="426" spans="9:14" ht="15.75" customHeight="1" x14ac:dyDescent="0.15">
      <c r="I426" s="1"/>
      <c r="J426" s="1"/>
      <c r="K426" s="1"/>
      <c r="L426" s="1"/>
      <c r="M426" s="1"/>
      <c r="N426" s="1"/>
    </row>
    <row r="427" spans="9:14" ht="15.75" customHeight="1" x14ac:dyDescent="0.15">
      <c r="I427" s="1"/>
      <c r="J427" s="1"/>
      <c r="K427" s="1"/>
      <c r="L427" s="1"/>
      <c r="M427" s="1"/>
      <c r="N427" s="1"/>
    </row>
    <row r="428" spans="9:14" ht="15.75" customHeight="1" x14ac:dyDescent="0.15">
      <c r="I428" s="1"/>
      <c r="J428" s="1"/>
      <c r="K428" s="1"/>
      <c r="L428" s="1"/>
      <c r="M428" s="1"/>
      <c r="N428" s="1"/>
    </row>
    <row r="429" spans="9:14" ht="15.75" customHeight="1" x14ac:dyDescent="0.15">
      <c r="I429" s="1"/>
      <c r="J429" s="1"/>
      <c r="K429" s="1"/>
      <c r="L429" s="1"/>
      <c r="M429" s="1"/>
      <c r="N429" s="1"/>
    </row>
    <row r="430" spans="9:14" ht="15.75" customHeight="1" x14ac:dyDescent="0.15">
      <c r="I430" s="1"/>
      <c r="J430" s="1"/>
      <c r="K430" s="1"/>
      <c r="L430" s="1"/>
      <c r="M430" s="1"/>
      <c r="N430" s="1"/>
    </row>
    <row r="431" spans="9:14" ht="15.75" customHeight="1" x14ac:dyDescent="0.15">
      <c r="I431" s="1"/>
      <c r="J431" s="1"/>
      <c r="K431" s="1"/>
      <c r="L431" s="1"/>
      <c r="M431" s="1"/>
      <c r="N431" s="1"/>
    </row>
    <row r="432" spans="9:14" ht="15.75" customHeight="1" x14ac:dyDescent="0.15">
      <c r="I432" s="1"/>
      <c r="J432" s="1"/>
      <c r="K432" s="1"/>
      <c r="L432" s="1"/>
      <c r="M432" s="1"/>
      <c r="N432" s="1"/>
    </row>
    <row r="433" spans="9:14" ht="15.75" customHeight="1" x14ac:dyDescent="0.15">
      <c r="I433" s="1"/>
      <c r="J433" s="1"/>
      <c r="K433" s="1"/>
      <c r="L433" s="1"/>
      <c r="M433" s="1"/>
      <c r="N433" s="1"/>
    </row>
    <row r="434" spans="9:14" ht="15.75" customHeight="1" x14ac:dyDescent="0.15">
      <c r="I434" s="1"/>
      <c r="J434" s="1"/>
      <c r="K434" s="1"/>
      <c r="L434" s="1"/>
      <c r="M434" s="1"/>
      <c r="N434" s="1"/>
    </row>
    <row r="435" spans="9:14" ht="15.75" customHeight="1" x14ac:dyDescent="0.15">
      <c r="I435" s="1"/>
      <c r="J435" s="1"/>
      <c r="K435" s="1"/>
      <c r="L435" s="1"/>
      <c r="M435" s="1"/>
      <c r="N435" s="1"/>
    </row>
    <row r="436" spans="9:14" ht="15.75" customHeight="1" x14ac:dyDescent="0.15">
      <c r="I436" s="1"/>
      <c r="J436" s="1"/>
      <c r="K436" s="1"/>
      <c r="L436" s="1"/>
      <c r="M436" s="1"/>
      <c r="N436" s="1"/>
    </row>
    <row r="437" spans="9:14" ht="15.75" customHeight="1" x14ac:dyDescent="0.15">
      <c r="I437" s="1"/>
      <c r="J437" s="1"/>
      <c r="K437" s="1"/>
      <c r="L437" s="1"/>
      <c r="M437" s="1"/>
      <c r="N437" s="1"/>
    </row>
    <row r="438" spans="9:14" ht="15.75" customHeight="1" x14ac:dyDescent="0.15">
      <c r="I438" s="1"/>
      <c r="J438" s="1"/>
      <c r="K438" s="1"/>
      <c r="L438" s="1"/>
      <c r="M438" s="1"/>
      <c r="N438" s="1"/>
    </row>
    <row r="439" spans="9:14" ht="15.75" customHeight="1" x14ac:dyDescent="0.15">
      <c r="I439" s="1"/>
      <c r="J439" s="1"/>
      <c r="K439" s="1"/>
      <c r="L439" s="1"/>
      <c r="M439" s="1"/>
      <c r="N439" s="1"/>
    </row>
    <row r="440" spans="9:14" ht="15.75" customHeight="1" x14ac:dyDescent="0.15">
      <c r="I440" s="1"/>
      <c r="J440" s="1"/>
      <c r="K440" s="1"/>
      <c r="L440" s="1"/>
      <c r="M440" s="1"/>
      <c r="N440" s="1"/>
    </row>
    <row r="441" spans="9:14" ht="15.75" customHeight="1" x14ac:dyDescent="0.15">
      <c r="I441" s="1"/>
      <c r="J441" s="1"/>
      <c r="K441" s="1"/>
      <c r="L441" s="1"/>
      <c r="M441" s="1"/>
      <c r="N441" s="1"/>
    </row>
    <row r="442" spans="9:14" ht="15.75" customHeight="1" x14ac:dyDescent="0.15">
      <c r="I442" s="1"/>
      <c r="J442" s="1"/>
      <c r="K442" s="1"/>
      <c r="L442" s="1"/>
      <c r="M442" s="1"/>
      <c r="N442" s="1"/>
    </row>
    <row r="443" spans="9:14" ht="15.75" customHeight="1" x14ac:dyDescent="0.15">
      <c r="I443" s="1"/>
      <c r="J443" s="1"/>
      <c r="K443" s="1"/>
      <c r="L443" s="1"/>
      <c r="M443" s="1"/>
      <c r="N443" s="1"/>
    </row>
    <row r="444" spans="9:14" ht="15.75" customHeight="1" x14ac:dyDescent="0.15">
      <c r="I444" s="1"/>
      <c r="J444" s="1"/>
      <c r="K444" s="1"/>
      <c r="L444" s="1"/>
      <c r="M444" s="1"/>
      <c r="N444" s="1"/>
    </row>
    <row r="445" spans="9:14" ht="15.75" customHeight="1" x14ac:dyDescent="0.15">
      <c r="I445" s="1"/>
      <c r="J445" s="1"/>
      <c r="K445" s="1"/>
      <c r="L445" s="1"/>
      <c r="M445" s="1"/>
      <c r="N445" s="1"/>
    </row>
    <row r="446" spans="9:14" ht="15.75" customHeight="1" x14ac:dyDescent="0.15">
      <c r="I446" s="1"/>
      <c r="J446" s="1"/>
      <c r="K446" s="1"/>
      <c r="L446" s="1"/>
      <c r="M446" s="1"/>
      <c r="N446" s="1"/>
    </row>
    <row r="447" spans="9:14" ht="15.75" customHeight="1" x14ac:dyDescent="0.15">
      <c r="I447" s="1"/>
      <c r="J447" s="1"/>
      <c r="K447" s="1"/>
      <c r="L447" s="1"/>
      <c r="M447" s="1"/>
      <c r="N447" s="1"/>
    </row>
    <row r="448" spans="9:14" ht="15.75" customHeight="1" x14ac:dyDescent="0.15">
      <c r="I448" s="1"/>
      <c r="J448" s="1"/>
      <c r="K448" s="1"/>
      <c r="L448" s="1"/>
      <c r="M448" s="1"/>
      <c r="N448" s="1"/>
    </row>
    <row r="449" spans="9:14" ht="15.75" customHeight="1" x14ac:dyDescent="0.15">
      <c r="I449" s="1"/>
      <c r="J449" s="1"/>
      <c r="K449" s="1"/>
      <c r="L449" s="1"/>
      <c r="M449" s="1"/>
      <c r="N449" s="1"/>
    </row>
    <row r="450" spans="9:14" ht="15.75" customHeight="1" x14ac:dyDescent="0.15">
      <c r="I450" s="1"/>
      <c r="J450" s="1"/>
      <c r="K450" s="1"/>
      <c r="L450" s="1"/>
      <c r="M450" s="1"/>
      <c r="N450" s="1"/>
    </row>
    <row r="451" spans="9:14" ht="15.75" customHeight="1" x14ac:dyDescent="0.15">
      <c r="I451" s="1"/>
      <c r="J451" s="1"/>
      <c r="K451" s="1"/>
      <c r="L451" s="1"/>
      <c r="M451" s="1"/>
      <c r="N451" s="1"/>
    </row>
    <row r="452" spans="9:14" ht="15.75" customHeight="1" x14ac:dyDescent="0.15">
      <c r="I452" s="1"/>
      <c r="J452" s="1"/>
      <c r="K452" s="1"/>
      <c r="L452" s="1"/>
      <c r="M452" s="1"/>
      <c r="N452" s="1"/>
    </row>
    <row r="453" spans="9:14" ht="15.75" customHeight="1" x14ac:dyDescent="0.15">
      <c r="I453" s="1"/>
      <c r="J453" s="1"/>
      <c r="K453" s="1"/>
      <c r="L453" s="1"/>
      <c r="M453" s="1"/>
      <c r="N453" s="1"/>
    </row>
    <row r="454" spans="9:14" ht="15.75" customHeight="1" x14ac:dyDescent="0.15">
      <c r="I454" s="1"/>
      <c r="J454" s="1"/>
      <c r="K454" s="1"/>
      <c r="L454" s="1"/>
      <c r="M454" s="1"/>
      <c r="N454" s="1"/>
    </row>
    <row r="455" spans="9:14" ht="15.75" customHeight="1" x14ac:dyDescent="0.15">
      <c r="I455" s="1"/>
      <c r="J455" s="1"/>
      <c r="K455" s="1"/>
      <c r="L455" s="1"/>
      <c r="M455" s="1"/>
      <c r="N455" s="1"/>
    </row>
    <row r="456" spans="9:14" ht="15.75" customHeight="1" x14ac:dyDescent="0.15">
      <c r="I456" s="1"/>
      <c r="J456" s="1"/>
      <c r="K456" s="1"/>
      <c r="L456" s="1"/>
      <c r="M456" s="1"/>
      <c r="N456" s="1"/>
    </row>
    <row r="457" spans="9:14" ht="15.75" customHeight="1" x14ac:dyDescent="0.15">
      <c r="I457" s="1"/>
      <c r="J457" s="1"/>
      <c r="K457" s="1"/>
      <c r="L457" s="1"/>
      <c r="M457" s="1"/>
      <c r="N457" s="1"/>
    </row>
    <row r="458" spans="9:14" ht="15.75" customHeight="1" x14ac:dyDescent="0.15">
      <c r="I458" s="1"/>
      <c r="J458" s="1"/>
      <c r="K458" s="1"/>
      <c r="L458" s="1"/>
      <c r="M458" s="1"/>
      <c r="N458" s="1"/>
    </row>
    <row r="459" spans="9:14" ht="15.75" customHeight="1" x14ac:dyDescent="0.15">
      <c r="I459" s="1"/>
      <c r="J459" s="1"/>
      <c r="K459" s="1"/>
      <c r="L459" s="1"/>
      <c r="M459" s="1"/>
      <c r="N459" s="1"/>
    </row>
    <row r="460" spans="9:14" ht="15.75" customHeight="1" x14ac:dyDescent="0.15">
      <c r="I460" s="1"/>
      <c r="J460" s="1"/>
      <c r="K460" s="1"/>
      <c r="L460" s="1"/>
      <c r="M460" s="1"/>
      <c r="N460" s="1"/>
    </row>
    <row r="461" spans="9:14" ht="15.75" customHeight="1" x14ac:dyDescent="0.15">
      <c r="I461" s="1"/>
      <c r="J461" s="1"/>
      <c r="K461" s="1"/>
      <c r="L461" s="1"/>
      <c r="M461" s="1"/>
      <c r="N461" s="1"/>
    </row>
    <row r="462" spans="9:14" ht="15.75" customHeight="1" x14ac:dyDescent="0.15">
      <c r="I462" s="1"/>
      <c r="J462" s="1"/>
      <c r="K462" s="1"/>
      <c r="L462" s="1"/>
      <c r="M462" s="1"/>
      <c r="N462" s="1"/>
    </row>
    <row r="463" spans="9:14" ht="15.75" customHeight="1" x14ac:dyDescent="0.15">
      <c r="I463" s="1"/>
      <c r="J463" s="1"/>
      <c r="K463" s="1"/>
      <c r="L463" s="1"/>
      <c r="M463" s="1"/>
      <c r="N463" s="1"/>
    </row>
    <row r="464" spans="9:14" ht="15.75" customHeight="1" x14ac:dyDescent="0.15">
      <c r="I464" s="1"/>
      <c r="J464" s="1"/>
      <c r="K464" s="1"/>
      <c r="L464" s="1"/>
      <c r="M464" s="1"/>
      <c r="N464" s="1"/>
    </row>
    <row r="465" spans="9:14" ht="15.75" customHeight="1" x14ac:dyDescent="0.15">
      <c r="I465" s="1"/>
      <c r="J465" s="1"/>
      <c r="K465" s="1"/>
      <c r="L465" s="1"/>
      <c r="M465" s="1"/>
      <c r="N465" s="1"/>
    </row>
    <row r="466" spans="9:14" ht="15.75" customHeight="1" x14ac:dyDescent="0.15">
      <c r="I466" s="1"/>
      <c r="J466" s="1"/>
      <c r="K466" s="1"/>
      <c r="L466" s="1"/>
      <c r="M466" s="1"/>
      <c r="N466" s="1"/>
    </row>
    <row r="467" spans="9:14" ht="15.75" customHeight="1" x14ac:dyDescent="0.15">
      <c r="I467" s="1"/>
      <c r="J467" s="1"/>
      <c r="K467" s="1"/>
      <c r="L467" s="1"/>
      <c r="M467" s="1"/>
      <c r="N467" s="1"/>
    </row>
    <row r="468" spans="9:14" ht="15.75" customHeight="1" x14ac:dyDescent="0.15">
      <c r="I468" s="1"/>
      <c r="J468" s="1"/>
      <c r="K468" s="1"/>
      <c r="L468" s="1"/>
      <c r="M468" s="1"/>
      <c r="N468" s="1"/>
    </row>
    <row r="469" spans="9:14" ht="15.75" customHeight="1" x14ac:dyDescent="0.15">
      <c r="I469" s="1"/>
      <c r="J469" s="1"/>
      <c r="K469" s="1"/>
      <c r="L469" s="1"/>
      <c r="M469" s="1"/>
      <c r="N469" s="1"/>
    </row>
    <row r="470" spans="9:14" ht="15.75" customHeight="1" x14ac:dyDescent="0.15">
      <c r="I470" s="1"/>
      <c r="J470" s="1"/>
      <c r="K470" s="1"/>
      <c r="L470" s="1"/>
      <c r="M470" s="1"/>
      <c r="N470" s="1"/>
    </row>
    <row r="471" spans="9:14" ht="15.75" customHeight="1" x14ac:dyDescent="0.15">
      <c r="I471" s="1"/>
      <c r="J471" s="1"/>
      <c r="K471" s="1"/>
      <c r="L471" s="1"/>
      <c r="M471" s="1"/>
      <c r="N471" s="1"/>
    </row>
    <row r="472" spans="9:14" ht="15.75" customHeight="1" x14ac:dyDescent="0.15">
      <c r="I472" s="1"/>
      <c r="J472" s="1"/>
      <c r="K472" s="1"/>
      <c r="L472" s="1"/>
      <c r="M472" s="1"/>
      <c r="N472" s="1"/>
    </row>
    <row r="473" spans="9:14" ht="15.75" customHeight="1" x14ac:dyDescent="0.15">
      <c r="I473" s="1"/>
      <c r="J473" s="1"/>
      <c r="K473" s="1"/>
      <c r="L473" s="1"/>
      <c r="M473" s="1"/>
      <c r="N473" s="1"/>
    </row>
    <row r="474" spans="9:14" ht="15.75" customHeight="1" x14ac:dyDescent="0.15">
      <c r="I474" s="1"/>
      <c r="J474" s="1"/>
      <c r="K474" s="1"/>
      <c r="L474" s="1"/>
      <c r="M474" s="1"/>
      <c r="N474" s="1"/>
    </row>
    <row r="475" spans="9:14" ht="15.75" customHeight="1" x14ac:dyDescent="0.15">
      <c r="I475" s="1"/>
      <c r="J475" s="1"/>
      <c r="K475" s="1"/>
      <c r="L475" s="1"/>
      <c r="M475" s="1"/>
      <c r="N475" s="1"/>
    </row>
    <row r="476" spans="9:14" ht="15.75" customHeight="1" x14ac:dyDescent="0.15">
      <c r="I476" s="1"/>
      <c r="J476" s="1"/>
      <c r="K476" s="1"/>
      <c r="L476" s="1"/>
      <c r="M476" s="1"/>
      <c r="N476" s="1"/>
    </row>
    <row r="477" spans="9:14" ht="15.75" customHeight="1" x14ac:dyDescent="0.15">
      <c r="I477" s="1"/>
      <c r="J477" s="1"/>
      <c r="K477" s="1"/>
      <c r="L477" s="1"/>
      <c r="M477" s="1"/>
      <c r="N477" s="1"/>
    </row>
    <row r="478" spans="9:14" ht="15.75" customHeight="1" x14ac:dyDescent="0.15">
      <c r="I478" s="1"/>
      <c r="J478" s="1"/>
      <c r="K478" s="1"/>
      <c r="L478" s="1"/>
      <c r="M478" s="1"/>
      <c r="N478" s="1"/>
    </row>
    <row r="479" spans="9:14" ht="15.75" customHeight="1" x14ac:dyDescent="0.15">
      <c r="I479" s="1"/>
      <c r="J479" s="1"/>
      <c r="K479" s="1"/>
      <c r="L479" s="1"/>
      <c r="M479" s="1"/>
      <c r="N479" s="1"/>
    </row>
    <row r="480" spans="9:14" ht="15.75" customHeight="1" x14ac:dyDescent="0.15">
      <c r="I480" s="1"/>
      <c r="J480" s="1"/>
      <c r="K480" s="1"/>
      <c r="L480" s="1"/>
      <c r="M480" s="1"/>
      <c r="N480" s="1"/>
    </row>
    <row r="481" spans="9:14" ht="15.75" customHeight="1" x14ac:dyDescent="0.15">
      <c r="I481" s="1"/>
      <c r="J481" s="1"/>
      <c r="K481" s="1"/>
      <c r="L481" s="1"/>
      <c r="M481" s="1"/>
      <c r="N481" s="1"/>
    </row>
    <row r="482" spans="9:14" ht="15.75" customHeight="1" x14ac:dyDescent="0.15">
      <c r="I482" s="1"/>
      <c r="J482" s="1"/>
      <c r="K482" s="1"/>
      <c r="L482" s="1"/>
      <c r="M482" s="1"/>
      <c r="N482" s="1"/>
    </row>
    <row r="483" spans="9:14" ht="15.75" customHeight="1" x14ac:dyDescent="0.15">
      <c r="I483" s="1"/>
      <c r="J483" s="1"/>
      <c r="K483" s="1"/>
      <c r="L483" s="1"/>
      <c r="M483" s="1"/>
      <c r="N483" s="1"/>
    </row>
    <row r="484" spans="9:14" ht="15.75" customHeight="1" x14ac:dyDescent="0.15">
      <c r="I484" s="1"/>
      <c r="J484" s="1"/>
      <c r="K484" s="1"/>
      <c r="L484" s="1"/>
      <c r="M484" s="1"/>
      <c r="N484" s="1"/>
    </row>
    <row r="485" spans="9:14" ht="15.75" customHeight="1" x14ac:dyDescent="0.15">
      <c r="I485" s="1"/>
      <c r="J485" s="1"/>
      <c r="K485" s="1"/>
      <c r="L485" s="1"/>
      <c r="M485" s="1"/>
      <c r="N485" s="1"/>
    </row>
    <row r="486" spans="9:14" ht="15.75" customHeight="1" x14ac:dyDescent="0.15">
      <c r="I486" s="1"/>
      <c r="J486" s="1"/>
      <c r="K486" s="1"/>
      <c r="L486" s="1"/>
      <c r="M486" s="1"/>
      <c r="N486" s="1"/>
    </row>
    <row r="487" spans="9:14" ht="15.75" customHeight="1" x14ac:dyDescent="0.15">
      <c r="I487" s="1"/>
      <c r="J487" s="1"/>
      <c r="K487" s="1"/>
      <c r="L487" s="1"/>
      <c r="M487" s="1"/>
      <c r="N487" s="1"/>
    </row>
    <row r="488" spans="9:14" ht="15.75" customHeight="1" x14ac:dyDescent="0.15">
      <c r="I488" s="1"/>
      <c r="J488" s="1"/>
      <c r="K488" s="1"/>
      <c r="L488" s="1"/>
      <c r="M488" s="1"/>
      <c r="N488" s="1"/>
    </row>
    <row r="489" spans="9:14" ht="15.75" customHeight="1" x14ac:dyDescent="0.15">
      <c r="I489" s="1"/>
      <c r="J489" s="1"/>
      <c r="K489" s="1"/>
      <c r="L489" s="1"/>
      <c r="M489" s="1"/>
      <c r="N489" s="1"/>
    </row>
    <row r="490" spans="9:14" ht="15.75" customHeight="1" x14ac:dyDescent="0.15">
      <c r="I490" s="1"/>
      <c r="J490" s="1"/>
      <c r="K490" s="1"/>
      <c r="L490" s="1"/>
      <c r="M490" s="1"/>
      <c r="N490" s="1"/>
    </row>
    <row r="491" spans="9:14" ht="15.75" customHeight="1" x14ac:dyDescent="0.15">
      <c r="I491" s="1"/>
      <c r="J491" s="1"/>
      <c r="K491" s="1"/>
      <c r="L491" s="1"/>
      <c r="M491" s="1"/>
      <c r="N491" s="1"/>
    </row>
    <row r="492" spans="9:14" ht="15.75" customHeight="1" x14ac:dyDescent="0.15">
      <c r="I492" s="1"/>
      <c r="J492" s="1"/>
      <c r="K492" s="1"/>
      <c r="L492" s="1"/>
      <c r="M492" s="1"/>
      <c r="N492" s="1"/>
    </row>
    <row r="493" spans="9:14" ht="15.75" customHeight="1" x14ac:dyDescent="0.15">
      <c r="I493" s="1"/>
      <c r="J493" s="1"/>
      <c r="K493" s="1"/>
      <c r="L493" s="1"/>
      <c r="M493" s="1"/>
      <c r="N493" s="1"/>
    </row>
    <row r="494" spans="9:14" ht="15.75" customHeight="1" x14ac:dyDescent="0.15">
      <c r="I494" s="1"/>
      <c r="J494" s="1"/>
      <c r="K494" s="1"/>
      <c r="L494" s="1"/>
      <c r="M494" s="1"/>
      <c r="N494" s="1"/>
    </row>
    <row r="495" spans="9:14" ht="15.75" customHeight="1" x14ac:dyDescent="0.15">
      <c r="I495" s="1"/>
      <c r="J495" s="1"/>
      <c r="K495" s="1"/>
      <c r="L495" s="1"/>
      <c r="M495" s="1"/>
      <c r="N495" s="1"/>
    </row>
    <row r="496" spans="9:14" ht="15.75" customHeight="1" x14ac:dyDescent="0.15">
      <c r="I496" s="1"/>
      <c r="J496" s="1"/>
      <c r="K496" s="1"/>
      <c r="L496" s="1"/>
      <c r="M496" s="1"/>
      <c r="N496" s="1"/>
    </row>
    <row r="497" spans="9:14" ht="15.75" customHeight="1" x14ac:dyDescent="0.15">
      <c r="I497" s="1"/>
      <c r="J497" s="1"/>
      <c r="K497" s="1"/>
      <c r="L497" s="1"/>
      <c r="M497" s="1"/>
      <c r="N497" s="1"/>
    </row>
    <row r="498" spans="9:14" ht="15.75" customHeight="1" x14ac:dyDescent="0.15">
      <c r="I498" s="1"/>
      <c r="J498" s="1"/>
      <c r="K498" s="1"/>
      <c r="L498" s="1"/>
      <c r="M498" s="1"/>
      <c r="N498" s="1"/>
    </row>
    <row r="499" spans="9:14" ht="15.75" customHeight="1" x14ac:dyDescent="0.15">
      <c r="I499" s="1"/>
      <c r="J499" s="1"/>
      <c r="K499" s="1"/>
      <c r="L499" s="1"/>
      <c r="M499" s="1"/>
      <c r="N499" s="1"/>
    </row>
    <row r="500" spans="9:14" ht="15.75" customHeight="1" x14ac:dyDescent="0.15">
      <c r="I500" s="1"/>
      <c r="J500" s="1"/>
      <c r="K500" s="1"/>
      <c r="L500" s="1"/>
      <c r="M500" s="1"/>
      <c r="N500" s="1"/>
    </row>
    <row r="501" spans="9:14" ht="15.75" customHeight="1" x14ac:dyDescent="0.15">
      <c r="I501" s="1"/>
      <c r="J501" s="1"/>
      <c r="K501" s="1"/>
      <c r="L501" s="1"/>
      <c r="M501" s="1"/>
      <c r="N501" s="1"/>
    </row>
    <row r="502" spans="9:14" ht="15.75" customHeight="1" x14ac:dyDescent="0.15">
      <c r="I502" s="1"/>
      <c r="J502" s="1"/>
      <c r="K502" s="1"/>
      <c r="L502" s="1"/>
      <c r="M502" s="1"/>
      <c r="N502" s="1"/>
    </row>
    <row r="503" spans="9:14" ht="15.75" customHeight="1" x14ac:dyDescent="0.15">
      <c r="I503" s="1"/>
      <c r="J503" s="1"/>
      <c r="K503" s="1"/>
      <c r="L503" s="1"/>
      <c r="M503" s="1"/>
      <c r="N503" s="1"/>
    </row>
    <row r="504" spans="9:14" ht="15.75" customHeight="1" x14ac:dyDescent="0.15">
      <c r="I504" s="1"/>
      <c r="J504" s="1"/>
      <c r="K504" s="1"/>
      <c r="L504" s="1"/>
      <c r="M504" s="1"/>
      <c r="N504" s="1"/>
    </row>
    <row r="505" spans="9:14" ht="15.75" customHeight="1" x14ac:dyDescent="0.15">
      <c r="I505" s="1"/>
      <c r="J505" s="1"/>
      <c r="K505" s="1"/>
      <c r="L505" s="1"/>
      <c r="M505" s="1"/>
      <c r="N505" s="1"/>
    </row>
    <row r="506" spans="9:14" ht="15.75" customHeight="1" x14ac:dyDescent="0.15">
      <c r="I506" s="1"/>
      <c r="J506" s="1"/>
      <c r="K506" s="1"/>
      <c r="L506" s="1"/>
      <c r="M506" s="1"/>
      <c r="N506" s="1"/>
    </row>
    <row r="507" spans="9:14" ht="15.75" customHeight="1" x14ac:dyDescent="0.15">
      <c r="I507" s="1"/>
      <c r="J507" s="1"/>
      <c r="K507" s="1"/>
      <c r="L507" s="1"/>
      <c r="M507" s="1"/>
      <c r="N507" s="1"/>
    </row>
    <row r="508" spans="9:14" ht="15.75" customHeight="1" x14ac:dyDescent="0.15">
      <c r="I508" s="1"/>
      <c r="J508" s="1"/>
      <c r="K508" s="1"/>
      <c r="L508" s="1"/>
      <c r="M508" s="1"/>
      <c r="N508" s="1"/>
    </row>
    <row r="509" spans="9:14" ht="15.75" customHeight="1" x14ac:dyDescent="0.15">
      <c r="I509" s="1"/>
      <c r="J509" s="1"/>
      <c r="K509" s="1"/>
      <c r="L509" s="1"/>
      <c r="M509" s="1"/>
      <c r="N509" s="1"/>
    </row>
    <row r="510" spans="9:14" ht="15.75" customHeight="1" x14ac:dyDescent="0.15">
      <c r="I510" s="1"/>
      <c r="J510" s="1"/>
      <c r="K510" s="1"/>
      <c r="L510" s="1"/>
      <c r="M510" s="1"/>
      <c r="N510" s="1"/>
    </row>
    <row r="511" spans="9:14" ht="15.75" customHeight="1" x14ac:dyDescent="0.15">
      <c r="I511" s="1"/>
      <c r="J511" s="1"/>
      <c r="K511" s="1"/>
      <c r="L511" s="1"/>
      <c r="M511" s="1"/>
      <c r="N511" s="1"/>
    </row>
    <row r="512" spans="9:14" ht="15.75" customHeight="1" x14ac:dyDescent="0.15">
      <c r="I512" s="1"/>
      <c r="J512" s="1"/>
      <c r="K512" s="1"/>
      <c r="L512" s="1"/>
      <c r="M512" s="1"/>
      <c r="N512" s="1"/>
    </row>
    <row r="513" spans="9:14" ht="15.75" customHeight="1" x14ac:dyDescent="0.15">
      <c r="I513" s="1"/>
      <c r="J513" s="1"/>
      <c r="K513" s="1"/>
      <c r="L513" s="1"/>
      <c r="M513" s="1"/>
      <c r="N513" s="1"/>
    </row>
    <row r="514" spans="9:14" ht="15.75" customHeight="1" x14ac:dyDescent="0.15">
      <c r="I514" s="1"/>
      <c r="J514" s="1"/>
      <c r="K514" s="1"/>
      <c r="L514" s="1"/>
      <c r="M514" s="1"/>
      <c r="N514" s="1"/>
    </row>
    <row r="515" spans="9:14" ht="15.75" customHeight="1" x14ac:dyDescent="0.15">
      <c r="I515" s="1"/>
      <c r="J515" s="1"/>
      <c r="K515" s="1"/>
      <c r="L515" s="1"/>
      <c r="M515" s="1"/>
      <c r="N515" s="1"/>
    </row>
    <row r="516" spans="9:14" ht="15.75" customHeight="1" x14ac:dyDescent="0.15">
      <c r="I516" s="1"/>
      <c r="J516" s="1"/>
      <c r="K516" s="1"/>
      <c r="L516" s="1"/>
      <c r="M516" s="1"/>
      <c r="N516" s="1"/>
    </row>
    <row r="517" spans="9:14" ht="15.75" customHeight="1" x14ac:dyDescent="0.15">
      <c r="I517" s="1"/>
      <c r="J517" s="1"/>
      <c r="K517" s="1"/>
      <c r="L517" s="1"/>
      <c r="M517" s="1"/>
      <c r="N517" s="1"/>
    </row>
    <row r="518" spans="9:14" ht="15.75" customHeight="1" x14ac:dyDescent="0.15">
      <c r="I518" s="1"/>
      <c r="J518" s="1"/>
      <c r="K518" s="1"/>
      <c r="L518" s="1"/>
      <c r="M518" s="1"/>
      <c r="N518" s="1"/>
    </row>
    <row r="519" spans="9:14" ht="15.75" customHeight="1" x14ac:dyDescent="0.15">
      <c r="I519" s="1"/>
      <c r="J519" s="1"/>
      <c r="K519" s="1"/>
      <c r="L519" s="1"/>
      <c r="M519" s="1"/>
      <c r="N519" s="1"/>
    </row>
    <row r="520" spans="9:14" ht="15.75" customHeight="1" x14ac:dyDescent="0.15">
      <c r="I520" s="1"/>
      <c r="J520" s="1"/>
      <c r="K520" s="1"/>
      <c r="L520" s="1"/>
      <c r="M520" s="1"/>
      <c r="N520" s="1"/>
    </row>
    <row r="521" spans="9:14" ht="15.75" customHeight="1" x14ac:dyDescent="0.15">
      <c r="I521" s="1"/>
      <c r="J521" s="1"/>
      <c r="K521" s="1"/>
      <c r="L521" s="1"/>
      <c r="M521" s="1"/>
      <c r="N521" s="1"/>
    </row>
    <row r="522" spans="9:14" ht="15.75" customHeight="1" x14ac:dyDescent="0.15">
      <c r="I522" s="1"/>
      <c r="J522" s="1"/>
      <c r="K522" s="1"/>
      <c r="L522" s="1"/>
      <c r="M522" s="1"/>
      <c r="N522" s="1"/>
    </row>
    <row r="523" spans="9:14" ht="15.75" customHeight="1" x14ac:dyDescent="0.15">
      <c r="I523" s="1"/>
      <c r="J523" s="1"/>
      <c r="K523" s="1"/>
      <c r="L523" s="1"/>
      <c r="M523" s="1"/>
      <c r="N523" s="1"/>
    </row>
    <row r="524" spans="9:14" ht="15.75" customHeight="1" x14ac:dyDescent="0.15">
      <c r="I524" s="1"/>
      <c r="J524" s="1"/>
      <c r="K524" s="1"/>
      <c r="L524" s="1"/>
      <c r="M524" s="1"/>
      <c r="N524" s="1"/>
    </row>
    <row r="525" spans="9:14" ht="15.75" customHeight="1" x14ac:dyDescent="0.15">
      <c r="I525" s="1"/>
      <c r="J525" s="1"/>
      <c r="K525" s="1"/>
      <c r="L525" s="1"/>
      <c r="M525" s="1"/>
      <c r="N525" s="1"/>
    </row>
    <row r="526" spans="9:14" ht="15.75" customHeight="1" x14ac:dyDescent="0.15">
      <c r="I526" s="1"/>
      <c r="J526" s="1"/>
      <c r="K526" s="1"/>
      <c r="L526" s="1"/>
      <c r="M526" s="1"/>
      <c r="N526" s="1"/>
    </row>
    <row r="527" spans="9:14" ht="15.75" customHeight="1" x14ac:dyDescent="0.15">
      <c r="I527" s="1"/>
      <c r="J527" s="1"/>
      <c r="K527" s="1"/>
      <c r="L527" s="1"/>
      <c r="M527" s="1"/>
      <c r="N527" s="1"/>
    </row>
    <row r="528" spans="9:14" ht="15.75" customHeight="1" x14ac:dyDescent="0.15">
      <c r="I528" s="1"/>
      <c r="J528" s="1"/>
      <c r="K528" s="1"/>
      <c r="L528" s="1"/>
      <c r="M528" s="1"/>
      <c r="N528" s="1"/>
    </row>
    <row r="529" spans="9:14" ht="15.75" customHeight="1" x14ac:dyDescent="0.15">
      <c r="I529" s="1"/>
      <c r="J529" s="1"/>
      <c r="K529" s="1"/>
      <c r="L529" s="1"/>
      <c r="M529" s="1"/>
      <c r="N529" s="1"/>
    </row>
    <row r="530" spans="9:14" ht="15.75" customHeight="1" x14ac:dyDescent="0.15">
      <c r="I530" s="1"/>
      <c r="J530" s="1"/>
      <c r="K530" s="1"/>
      <c r="L530" s="1"/>
      <c r="M530" s="1"/>
      <c r="N530" s="1"/>
    </row>
    <row r="531" spans="9:14" ht="15.75" customHeight="1" x14ac:dyDescent="0.15">
      <c r="I531" s="1"/>
      <c r="J531" s="1"/>
      <c r="K531" s="1"/>
      <c r="L531" s="1"/>
      <c r="M531" s="1"/>
      <c r="N531" s="1"/>
    </row>
    <row r="532" spans="9:14" ht="15.75" customHeight="1" x14ac:dyDescent="0.15">
      <c r="I532" s="1"/>
      <c r="J532" s="1"/>
      <c r="K532" s="1"/>
      <c r="L532" s="1"/>
      <c r="M532" s="1"/>
      <c r="N532" s="1"/>
    </row>
    <row r="533" spans="9:14" ht="15.75" customHeight="1" x14ac:dyDescent="0.15">
      <c r="I533" s="1"/>
      <c r="J533" s="1"/>
      <c r="K533" s="1"/>
      <c r="L533" s="1"/>
      <c r="M533" s="1"/>
      <c r="N533" s="1"/>
    </row>
    <row r="534" spans="9:14" ht="15.75" customHeight="1" x14ac:dyDescent="0.15">
      <c r="I534" s="1"/>
      <c r="J534" s="1"/>
      <c r="K534" s="1"/>
      <c r="L534" s="1"/>
      <c r="M534" s="1"/>
      <c r="N534" s="1"/>
    </row>
    <row r="535" spans="9:14" ht="15.75" customHeight="1" x14ac:dyDescent="0.15">
      <c r="I535" s="1"/>
      <c r="J535" s="1"/>
      <c r="K535" s="1"/>
      <c r="L535" s="1"/>
      <c r="M535" s="1"/>
      <c r="N535" s="1"/>
    </row>
    <row r="536" spans="9:14" ht="15.75" customHeight="1" x14ac:dyDescent="0.15">
      <c r="I536" s="1"/>
      <c r="J536" s="1"/>
      <c r="K536" s="1"/>
      <c r="L536" s="1"/>
      <c r="M536" s="1"/>
      <c r="N536" s="1"/>
    </row>
    <row r="537" spans="9:14" ht="15.75" customHeight="1" x14ac:dyDescent="0.15">
      <c r="I537" s="1"/>
      <c r="J537" s="1"/>
      <c r="K537" s="1"/>
      <c r="L537" s="1"/>
      <c r="M537" s="1"/>
      <c r="N537" s="1"/>
    </row>
    <row r="538" spans="9:14" ht="15.75" customHeight="1" x14ac:dyDescent="0.15">
      <c r="I538" s="1"/>
      <c r="J538" s="1"/>
      <c r="K538" s="1"/>
      <c r="L538" s="1"/>
      <c r="M538" s="1"/>
      <c r="N538" s="1"/>
    </row>
    <row r="539" spans="9:14" ht="15.75" customHeight="1" x14ac:dyDescent="0.15">
      <c r="I539" s="1"/>
      <c r="J539" s="1"/>
      <c r="K539" s="1"/>
      <c r="L539" s="1"/>
      <c r="M539" s="1"/>
      <c r="N539" s="1"/>
    </row>
    <row r="540" spans="9:14" ht="15.75" customHeight="1" x14ac:dyDescent="0.15">
      <c r="I540" s="1"/>
      <c r="J540" s="1"/>
      <c r="K540" s="1"/>
      <c r="L540" s="1"/>
      <c r="M540" s="1"/>
      <c r="N540" s="1"/>
    </row>
    <row r="541" spans="9:14" ht="15.75" customHeight="1" x14ac:dyDescent="0.15">
      <c r="I541" s="1"/>
      <c r="J541" s="1"/>
      <c r="K541" s="1"/>
      <c r="L541" s="1"/>
      <c r="M541" s="1"/>
      <c r="N541" s="1"/>
    </row>
    <row r="542" spans="9:14" ht="15.75" customHeight="1" x14ac:dyDescent="0.15">
      <c r="I542" s="1"/>
      <c r="J542" s="1"/>
      <c r="K542" s="1"/>
      <c r="L542" s="1"/>
      <c r="M542" s="1"/>
      <c r="N542" s="1"/>
    </row>
    <row r="543" spans="9:14" ht="15.75" customHeight="1" x14ac:dyDescent="0.15">
      <c r="I543" s="1"/>
      <c r="J543" s="1"/>
      <c r="K543" s="1"/>
      <c r="L543" s="1"/>
      <c r="M543" s="1"/>
      <c r="N543" s="1"/>
    </row>
    <row r="544" spans="9:14" ht="15.75" customHeight="1" x14ac:dyDescent="0.15">
      <c r="I544" s="1"/>
      <c r="J544" s="1"/>
      <c r="K544" s="1"/>
      <c r="L544" s="1"/>
      <c r="M544" s="1"/>
      <c r="N544" s="1"/>
    </row>
    <row r="545" spans="9:14" ht="15.75" customHeight="1" x14ac:dyDescent="0.15">
      <c r="I545" s="1"/>
      <c r="J545" s="1"/>
      <c r="K545" s="1"/>
      <c r="L545" s="1"/>
      <c r="M545" s="1"/>
      <c r="N545" s="1"/>
    </row>
    <row r="546" spans="9:14" ht="15.75" customHeight="1" x14ac:dyDescent="0.15">
      <c r="I546" s="1"/>
      <c r="J546" s="1"/>
      <c r="K546" s="1"/>
      <c r="L546" s="1"/>
      <c r="M546" s="1"/>
      <c r="N546" s="1"/>
    </row>
    <row r="547" spans="9:14" ht="15.75" customHeight="1" x14ac:dyDescent="0.15">
      <c r="I547" s="1"/>
      <c r="J547" s="1"/>
      <c r="K547" s="1"/>
      <c r="L547" s="1"/>
      <c r="M547" s="1"/>
      <c r="N547" s="1"/>
    </row>
    <row r="548" spans="9:14" ht="15.75" customHeight="1" x14ac:dyDescent="0.15">
      <c r="I548" s="1"/>
      <c r="J548" s="1"/>
      <c r="K548" s="1"/>
      <c r="L548" s="1"/>
      <c r="M548" s="1"/>
      <c r="N548" s="1"/>
    </row>
    <row r="549" spans="9:14" ht="15.75" customHeight="1" x14ac:dyDescent="0.15">
      <c r="I549" s="1"/>
      <c r="J549" s="1"/>
      <c r="K549" s="1"/>
      <c r="L549" s="1"/>
      <c r="M549" s="1"/>
      <c r="N549" s="1"/>
    </row>
    <row r="550" spans="9:14" ht="15.75" customHeight="1" x14ac:dyDescent="0.15">
      <c r="I550" s="1"/>
      <c r="J550" s="1"/>
      <c r="K550" s="1"/>
      <c r="L550" s="1"/>
      <c r="M550" s="1"/>
      <c r="N550" s="1"/>
    </row>
    <row r="551" spans="9:14" ht="15.75" customHeight="1" x14ac:dyDescent="0.15">
      <c r="I551" s="1"/>
      <c r="J551" s="1"/>
      <c r="K551" s="1"/>
      <c r="L551" s="1"/>
      <c r="M551" s="1"/>
      <c r="N551" s="1"/>
    </row>
    <row r="552" spans="9:14" ht="15.75" customHeight="1" x14ac:dyDescent="0.15">
      <c r="I552" s="1"/>
      <c r="J552" s="1"/>
      <c r="K552" s="1"/>
      <c r="L552" s="1"/>
      <c r="M552" s="1"/>
      <c r="N552" s="1"/>
    </row>
    <row r="553" spans="9:14" ht="15.75" customHeight="1" x14ac:dyDescent="0.15">
      <c r="I553" s="1"/>
      <c r="J553" s="1"/>
      <c r="K553" s="1"/>
      <c r="L553" s="1"/>
      <c r="M553" s="1"/>
      <c r="N553" s="1"/>
    </row>
    <row r="554" spans="9:14" ht="15.75" customHeight="1" x14ac:dyDescent="0.15">
      <c r="I554" s="1"/>
      <c r="J554" s="1"/>
      <c r="K554" s="1"/>
      <c r="L554" s="1"/>
      <c r="M554" s="1"/>
      <c r="N554" s="1"/>
    </row>
    <row r="555" spans="9:14" ht="15.75" customHeight="1" x14ac:dyDescent="0.15">
      <c r="I555" s="1"/>
      <c r="J555" s="1"/>
      <c r="K555" s="1"/>
      <c r="L555" s="1"/>
      <c r="M555" s="1"/>
      <c r="N555" s="1"/>
    </row>
    <row r="556" spans="9:14" ht="15.75" customHeight="1" x14ac:dyDescent="0.15">
      <c r="I556" s="1"/>
      <c r="J556" s="1"/>
      <c r="K556" s="1"/>
      <c r="L556" s="1"/>
      <c r="M556" s="1"/>
      <c r="N556" s="1"/>
    </row>
    <row r="557" spans="9:14" ht="15.75" customHeight="1" x14ac:dyDescent="0.15">
      <c r="I557" s="1"/>
      <c r="J557" s="1"/>
      <c r="K557" s="1"/>
      <c r="L557" s="1"/>
      <c r="M557" s="1"/>
      <c r="N557" s="1"/>
    </row>
    <row r="558" spans="9:14" ht="15.75" customHeight="1" x14ac:dyDescent="0.15">
      <c r="I558" s="1"/>
      <c r="J558" s="1"/>
      <c r="K558" s="1"/>
      <c r="L558" s="1"/>
      <c r="M558" s="1"/>
      <c r="N558" s="1"/>
    </row>
    <row r="559" spans="9:14" ht="15.75" customHeight="1" x14ac:dyDescent="0.15">
      <c r="I559" s="1"/>
      <c r="J559" s="1"/>
      <c r="K559" s="1"/>
      <c r="L559" s="1"/>
      <c r="M559" s="1"/>
      <c r="N559" s="1"/>
    </row>
    <row r="560" spans="9:14" ht="15.75" customHeight="1" x14ac:dyDescent="0.15">
      <c r="I560" s="1"/>
      <c r="J560" s="1"/>
      <c r="K560" s="1"/>
      <c r="L560" s="1"/>
      <c r="M560" s="1"/>
      <c r="N560" s="1"/>
    </row>
    <row r="561" spans="9:14" ht="15.75" customHeight="1" x14ac:dyDescent="0.15">
      <c r="I561" s="1"/>
      <c r="J561" s="1"/>
      <c r="K561" s="1"/>
      <c r="L561" s="1"/>
      <c r="M561" s="1"/>
      <c r="N561" s="1"/>
    </row>
    <row r="562" spans="9:14" ht="15.75" customHeight="1" x14ac:dyDescent="0.15">
      <c r="I562" s="1"/>
      <c r="J562" s="1"/>
      <c r="K562" s="1"/>
      <c r="L562" s="1"/>
      <c r="M562" s="1"/>
      <c r="N562" s="1"/>
    </row>
    <row r="563" spans="9:14" ht="15.75" customHeight="1" x14ac:dyDescent="0.15">
      <c r="I563" s="1"/>
      <c r="J563" s="1"/>
      <c r="K563" s="1"/>
      <c r="L563" s="1"/>
      <c r="M563" s="1"/>
      <c r="N563" s="1"/>
    </row>
    <row r="564" spans="9:14" ht="15.75" customHeight="1" x14ac:dyDescent="0.15">
      <c r="I564" s="1"/>
      <c r="J564" s="1"/>
      <c r="K564" s="1"/>
      <c r="L564" s="1"/>
      <c r="M564" s="1"/>
      <c r="N564" s="1"/>
    </row>
    <row r="565" spans="9:14" ht="15.75" customHeight="1" x14ac:dyDescent="0.15">
      <c r="I565" s="1"/>
      <c r="J565" s="1"/>
      <c r="K565" s="1"/>
      <c r="L565" s="1"/>
      <c r="M565" s="1"/>
      <c r="N565" s="1"/>
    </row>
    <row r="566" spans="9:14" ht="15.75" customHeight="1" x14ac:dyDescent="0.15">
      <c r="I566" s="1"/>
      <c r="J566" s="1"/>
      <c r="K566" s="1"/>
      <c r="L566" s="1"/>
      <c r="M566" s="1"/>
      <c r="N566" s="1"/>
    </row>
    <row r="567" spans="9:14" ht="15.75" customHeight="1" x14ac:dyDescent="0.15">
      <c r="I567" s="1"/>
      <c r="J567" s="1"/>
      <c r="K567" s="1"/>
      <c r="L567" s="1"/>
      <c r="M567" s="1"/>
      <c r="N567" s="1"/>
    </row>
    <row r="568" spans="9:14" ht="15.75" customHeight="1" x14ac:dyDescent="0.15">
      <c r="I568" s="1"/>
      <c r="J568" s="1"/>
      <c r="K568" s="1"/>
      <c r="L568" s="1"/>
      <c r="M568" s="1"/>
      <c r="N568" s="1"/>
    </row>
    <row r="569" spans="9:14" ht="15.75" customHeight="1" x14ac:dyDescent="0.15">
      <c r="I569" s="1"/>
      <c r="J569" s="1"/>
      <c r="K569" s="1"/>
      <c r="L569" s="1"/>
      <c r="M569" s="1"/>
      <c r="N569" s="1"/>
    </row>
    <row r="570" spans="9:14" ht="15.75" customHeight="1" x14ac:dyDescent="0.15">
      <c r="I570" s="1"/>
      <c r="J570" s="1"/>
      <c r="K570" s="1"/>
      <c r="L570" s="1"/>
      <c r="M570" s="1"/>
      <c r="N570" s="1"/>
    </row>
    <row r="571" spans="9:14" ht="15.75" customHeight="1" x14ac:dyDescent="0.15">
      <c r="I571" s="1"/>
      <c r="J571" s="1"/>
      <c r="K571" s="1"/>
      <c r="L571" s="1"/>
      <c r="M571" s="1"/>
      <c r="N571" s="1"/>
    </row>
    <row r="572" spans="9:14" ht="15.75" customHeight="1" x14ac:dyDescent="0.15">
      <c r="I572" s="1"/>
      <c r="J572" s="1"/>
      <c r="K572" s="1"/>
      <c r="L572" s="1"/>
      <c r="M572" s="1"/>
      <c r="N572" s="1"/>
    </row>
    <row r="573" spans="9:14" ht="15.75" customHeight="1" x14ac:dyDescent="0.15">
      <c r="I573" s="1"/>
      <c r="J573" s="1"/>
      <c r="K573" s="1"/>
      <c r="L573" s="1"/>
      <c r="M573" s="1"/>
      <c r="N573" s="1"/>
    </row>
    <row r="574" spans="9:14" ht="15.75" customHeight="1" x14ac:dyDescent="0.15">
      <c r="I574" s="1"/>
      <c r="J574" s="1"/>
      <c r="K574" s="1"/>
      <c r="L574" s="1"/>
      <c r="M574" s="1"/>
      <c r="N574" s="1"/>
    </row>
    <row r="575" spans="9:14" ht="15.75" customHeight="1" x14ac:dyDescent="0.15">
      <c r="I575" s="1"/>
      <c r="J575" s="1"/>
      <c r="K575" s="1"/>
      <c r="L575" s="1"/>
      <c r="M575" s="1"/>
      <c r="N575" s="1"/>
    </row>
    <row r="576" spans="9:14" ht="15.75" customHeight="1" x14ac:dyDescent="0.15">
      <c r="I576" s="1"/>
      <c r="J576" s="1"/>
      <c r="K576" s="1"/>
      <c r="L576" s="1"/>
      <c r="M576" s="1"/>
      <c r="N576" s="1"/>
    </row>
    <row r="577" spans="9:14" ht="15.75" customHeight="1" x14ac:dyDescent="0.15">
      <c r="I577" s="1"/>
      <c r="J577" s="1"/>
      <c r="K577" s="1"/>
      <c r="L577" s="1"/>
      <c r="M577" s="1"/>
      <c r="N577" s="1"/>
    </row>
    <row r="578" spans="9:14" ht="15.75" customHeight="1" x14ac:dyDescent="0.15">
      <c r="I578" s="1"/>
      <c r="J578" s="1"/>
      <c r="K578" s="1"/>
      <c r="L578" s="1"/>
      <c r="M578" s="1"/>
      <c r="N578" s="1"/>
    </row>
    <row r="579" spans="9:14" ht="15.75" customHeight="1" x14ac:dyDescent="0.15">
      <c r="I579" s="1"/>
      <c r="J579" s="1"/>
      <c r="K579" s="1"/>
      <c r="L579" s="1"/>
      <c r="M579" s="1"/>
      <c r="N579" s="1"/>
    </row>
    <row r="580" spans="9:14" ht="15.75" customHeight="1" x14ac:dyDescent="0.15">
      <c r="I580" s="1"/>
      <c r="J580" s="1"/>
      <c r="K580" s="1"/>
      <c r="L580" s="1"/>
      <c r="M580" s="1"/>
      <c r="N580" s="1"/>
    </row>
    <row r="581" spans="9:14" ht="15.75" customHeight="1" x14ac:dyDescent="0.15">
      <c r="I581" s="1"/>
      <c r="J581" s="1"/>
      <c r="K581" s="1"/>
      <c r="L581" s="1"/>
      <c r="M581" s="1"/>
      <c r="N581" s="1"/>
    </row>
    <row r="582" spans="9:14" ht="15.75" customHeight="1" x14ac:dyDescent="0.15">
      <c r="I582" s="1"/>
      <c r="J582" s="1"/>
      <c r="K582" s="1"/>
      <c r="L582" s="1"/>
      <c r="M582" s="1"/>
      <c r="N582" s="1"/>
    </row>
    <row r="583" spans="9:14" ht="15.75" customHeight="1" x14ac:dyDescent="0.15">
      <c r="I583" s="1"/>
      <c r="J583" s="1"/>
      <c r="K583" s="1"/>
      <c r="L583" s="1"/>
      <c r="M583" s="1"/>
      <c r="N583" s="1"/>
    </row>
    <row r="584" spans="9:14" ht="15.75" customHeight="1" x14ac:dyDescent="0.15">
      <c r="I584" s="1"/>
      <c r="J584" s="1"/>
      <c r="K584" s="1"/>
      <c r="L584" s="1"/>
      <c r="M584" s="1"/>
      <c r="N584" s="1"/>
    </row>
    <row r="585" spans="9:14" ht="15.75" customHeight="1" x14ac:dyDescent="0.15">
      <c r="I585" s="1"/>
      <c r="J585" s="1"/>
      <c r="K585" s="1"/>
      <c r="L585" s="1"/>
      <c r="M585" s="1"/>
      <c r="N585" s="1"/>
    </row>
    <row r="586" spans="9:14" ht="15.75" customHeight="1" x14ac:dyDescent="0.15">
      <c r="I586" s="1"/>
      <c r="J586" s="1"/>
      <c r="K586" s="1"/>
      <c r="L586" s="1"/>
      <c r="M586" s="1"/>
      <c r="N586" s="1"/>
    </row>
    <row r="587" spans="9:14" ht="15.75" customHeight="1" x14ac:dyDescent="0.15">
      <c r="I587" s="1"/>
      <c r="J587" s="1"/>
      <c r="K587" s="1"/>
      <c r="L587" s="1"/>
      <c r="M587" s="1"/>
      <c r="N587" s="1"/>
    </row>
    <row r="588" spans="9:14" ht="15.75" customHeight="1" x14ac:dyDescent="0.15">
      <c r="I588" s="1"/>
      <c r="J588" s="1"/>
      <c r="K588" s="1"/>
      <c r="L588" s="1"/>
      <c r="M588" s="1"/>
      <c r="N588" s="1"/>
    </row>
    <row r="589" spans="9:14" ht="15.75" customHeight="1" x14ac:dyDescent="0.15">
      <c r="I589" s="1"/>
      <c r="J589" s="1"/>
      <c r="K589" s="1"/>
      <c r="L589" s="1"/>
      <c r="M589" s="1"/>
      <c r="N589" s="1"/>
    </row>
    <row r="590" spans="9:14" ht="15.75" customHeight="1" x14ac:dyDescent="0.15">
      <c r="I590" s="1"/>
      <c r="J590" s="1"/>
      <c r="K590" s="1"/>
      <c r="L590" s="1"/>
      <c r="M590" s="1"/>
      <c r="N590" s="1"/>
    </row>
    <row r="591" spans="9:14" ht="15.75" customHeight="1" x14ac:dyDescent="0.15">
      <c r="I591" s="1"/>
      <c r="J591" s="1"/>
      <c r="K591" s="1"/>
      <c r="L591" s="1"/>
      <c r="M591" s="1"/>
      <c r="N591" s="1"/>
    </row>
    <row r="592" spans="9:14" ht="15.75" customHeight="1" x14ac:dyDescent="0.15">
      <c r="I592" s="1"/>
      <c r="J592" s="1"/>
      <c r="K592" s="1"/>
      <c r="L592" s="1"/>
      <c r="M592" s="1"/>
      <c r="N592" s="1"/>
    </row>
    <row r="593" spans="9:14" ht="15.75" customHeight="1" x14ac:dyDescent="0.15">
      <c r="I593" s="1"/>
      <c r="J593" s="1"/>
      <c r="K593" s="1"/>
      <c r="L593" s="1"/>
      <c r="M593" s="1"/>
      <c r="N593" s="1"/>
    </row>
    <row r="594" spans="9:14" ht="15.75" customHeight="1" x14ac:dyDescent="0.15">
      <c r="I594" s="1"/>
      <c r="J594" s="1"/>
      <c r="K594" s="1"/>
      <c r="L594" s="1"/>
      <c r="M594" s="1"/>
      <c r="N594" s="1"/>
    </row>
    <row r="595" spans="9:14" ht="15.75" customHeight="1" x14ac:dyDescent="0.15">
      <c r="I595" s="1"/>
      <c r="J595" s="1"/>
      <c r="K595" s="1"/>
      <c r="L595" s="1"/>
      <c r="M595" s="1"/>
      <c r="N595" s="1"/>
    </row>
    <row r="596" spans="9:14" ht="15.75" customHeight="1" x14ac:dyDescent="0.15">
      <c r="I596" s="1"/>
      <c r="J596" s="1"/>
      <c r="K596" s="1"/>
      <c r="L596" s="1"/>
      <c r="M596" s="1"/>
      <c r="N596" s="1"/>
    </row>
    <row r="597" spans="9:14" ht="15.75" customHeight="1" x14ac:dyDescent="0.15">
      <c r="I597" s="1"/>
      <c r="J597" s="1"/>
      <c r="K597" s="1"/>
      <c r="L597" s="1"/>
      <c r="M597" s="1"/>
      <c r="N597" s="1"/>
    </row>
    <row r="598" spans="9:14" ht="15.75" customHeight="1" x14ac:dyDescent="0.15">
      <c r="I598" s="1"/>
      <c r="J598" s="1"/>
      <c r="K598" s="1"/>
      <c r="L598" s="1"/>
      <c r="M598" s="1"/>
      <c r="N598" s="1"/>
    </row>
    <row r="599" spans="9:14" ht="15.75" customHeight="1" x14ac:dyDescent="0.15">
      <c r="I599" s="1"/>
      <c r="J599" s="1"/>
      <c r="K599" s="1"/>
      <c r="L599" s="1"/>
      <c r="M599" s="1"/>
      <c r="N599" s="1"/>
    </row>
    <row r="600" spans="9:14" ht="15.75" customHeight="1" x14ac:dyDescent="0.15">
      <c r="I600" s="1"/>
      <c r="J600" s="1"/>
      <c r="K600" s="1"/>
      <c r="L600" s="1"/>
      <c r="M600" s="1"/>
      <c r="N600" s="1"/>
    </row>
    <row r="601" spans="9:14" ht="15.75" customHeight="1" x14ac:dyDescent="0.15">
      <c r="I601" s="1"/>
      <c r="J601" s="1"/>
      <c r="K601" s="1"/>
      <c r="L601" s="1"/>
      <c r="M601" s="1"/>
      <c r="N601" s="1"/>
    </row>
    <row r="602" spans="9:14" ht="15.75" customHeight="1" x14ac:dyDescent="0.15">
      <c r="I602" s="1"/>
      <c r="J602" s="1"/>
      <c r="K602" s="1"/>
      <c r="L602" s="1"/>
      <c r="M602" s="1"/>
      <c r="N602" s="1"/>
    </row>
    <row r="603" spans="9:14" ht="15.75" customHeight="1" x14ac:dyDescent="0.15">
      <c r="I603" s="1"/>
      <c r="J603" s="1"/>
      <c r="K603" s="1"/>
      <c r="L603" s="1"/>
      <c r="M603" s="1"/>
      <c r="N603" s="1"/>
    </row>
    <row r="604" spans="9:14" ht="15.75" customHeight="1" x14ac:dyDescent="0.15">
      <c r="I604" s="1"/>
      <c r="J604" s="1"/>
      <c r="K604" s="1"/>
      <c r="L604" s="1"/>
      <c r="M604" s="1"/>
      <c r="N604" s="1"/>
    </row>
    <row r="605" spans="9:14" ht="15.75" customHeight="1" x14ac:dyDescent="0.15">
      <c r="I605" s="1"/>
      <c r="J605" s="1"/>
      <c r="K605" s="1"/>
      <c r="L605" s="1"/>
      <c r="M605" s="1"/>
      <c r="N605" s="1"/>
    </row>
    <row r="606" spans="9:14" ht="15.75" customHeight="1" x14ac:dyDescent="0.15">
      <c r="I606" s="1"/>
      <c r="J606" s="1"/>
      <c r="K606" s="1"/>
      <c r="L606" s="1"/>
      <c r="M606" s="1"/>
      <c r="N606" s="1"/>
    </row>
    <row r="607" spans="9:14" ht="15.75" customHeight="1" x14ac:dyDescent="0.15">
      <c r="I607" s="1"/>
      <c r="J607" s="1"/>
      <c r="K607" s="1"/>
      <c r="L607" s="1"/>
      <c r="M607" s="1"/>
      <c r="N607" s="1"/>
    </row>
    <row r="608" spans="9:14" ht="15.75" customHeight="1" x14ac:dyDescent="0.15">
      <c r="I608" s="1"/>
      <c r="J608" s="1"/>
      <c r="K608" s="1"/>
      <c r="L608" s="1"/>
      <c r="M608" s="1"/>
      <c r="N608" s="1"/>
    </row>
    <row r="609" spans="9:14" ht="15.75" customHeight="1" x14ac:dyDescent="0.15">
      <c r="I609" s="1"/>
      <c r="J609" s="1"/>
      <c r="K609" s="1"/>
      <c r="L609" s="1"/>
      <c r="M609" s="1"/>
      <c r="N609" s="1"/>
    </row>
    <row r="610" spans="9:14" ht="15.75" customHeight="1" x14ac:dyDescent="0.15">
      <c r="I610" s="1"/>
      <c r="J610" s="1"/>
      <c r="K610" s="1"/>
      <c r="L610" s="1"/>
      <c r="M610" s="1"/>
      <c r="N610" s="1"/>
    </row>
    <row r="611" spans="9:14" ht="15.75" customHeight="1" x14ac:dyDescent="0.15">
      <c r="I611" s="1"/>
      <c r="J611" s="1"/>
      <c r="K611" s="1"/>
      <c r="L611" s="1"/>
      <c r="M611" s="1"/>
      <c r="N611" s="1"/>
    </row>
    <row r="612" spans="9:14" ht="15.75" customHeight="1" x14ac:dyDescent="0.15">
      <c r="I612" s="1"/>
      <c r="J612" s="1"/>
      <c r="K612" s="1"/>
      <c r="L612" s="1"/>
      <c r="M612" s="1"/>
      <c r="N612" s="1"/>
    </row>
    <row r="613" spans="9:14" ht="15.75" customHeight="1" x14ac:dyDescent="0.15">
      <c r="I613" s="1"/>
      <c r="J613" s="1"/>
      <c r="K613" s="1"/>
      <c r="L613" s="1"/>
      <c r="M613" s="1"/>
      <c r="N613" s="1"/>
    </row>
    <row r="614" spans="9:14" ht="15.75" customHeight="1" x14ac:dyDescent="0.15">
      <c r="I614" s="1"/>
      <c r="J614" s="1"/>
      <c r="K614" s="1"/>
      <c r="L614" s="1"/>
      <c r="M614" s="1"/>
      <c r="N614" s="1"/>
    </row>
    <row r="615" spans="9:14" ht="15.75" customHeight="1" x14ac:dyDescent="0.15">
      <c r="I615" s="1"/>
      <c r="J615" s="1"/>
      <c r="K615" s="1"/>
      <c r="L615" s="1"/>
      <c r="M615" s="1"/>
      <c r="N615" s="1"/>
    </row>
    <row r="616" spans="9:14" ht="15.75" customHeight="1" x14ac:dyDescent="0.15">
      <c r="I616" s="1"/>
      <c r="J616" s="1"/>
      <c r="K616" s="1"/>
      <c r="L616" s="1"/>
      <c r="M616" s="1"/>
      <c r="N616" s="1"/>
    </row>
    <row r="617" spans="9:14" ht="15.75" customHeight="1" x14ac:dyDescent="0.15">
      <c r="I617" s="1"/>
      <c r="J617" s="1"/>
      <c r="K617" s="1"/>
      <c r="L617" s="1"/>
      <c r="M617" s="1"/>
      <c r="N617" s="1"/>
    </row>
    <row r="618" spans="9:14" ht="15.75" customHeight="1" x14ac:dyDescent="0.15">
      <c r="I618" s="1"/>
      <c r="J618" s="1"/>
      <c r="K618" s="1"/>
      <c r="L618" s="1"/>
      <c r="M618" s="1"/>
      <c r="N618" s="1"/>
    </row>
    <row r="619" spans="9:14" ht="15.75" customHeight="1" x14ac:dyDescent="0.15">
      <c r="I619" s="1"/>
      <c r="J619" s="1"/>
      <c r="K619" s="1"/>
      <c r="L619" s="1"/>
      <c r="M619" s="1"/>
      <c r="N619" s="1"/>
    </row>
    <row r="620" spans="9:14" ht="15.75" customHeight="1" x14ac:dyDescent="0.15">
      <c r="I620" s="1"/>
      <c r="J620" s="1"/>
      <c r="K620" s="1"/>
      <c r="L620" s="1"/>
      <c r="M620" s="1"/>
      <c r="N620" s="1"/>
    </row>
    <row r="621" spans="9:14" ht="15.75" customHeight="1" x14ac:dyDescent="0.15">
      <c r="I621" s="1"/>
      <c r="J621" s="1"/>
      <c r="K621" s="1"/>
      <c r="L621" s="1"/>
      <c r="M621" s="1"/>
      <c r="N621" s="1"/>
    </row>
    <row r="622" spans="9:14" ht="15.75" customHeight="1" x14ac:dyDescent="0.15">
      <c r="I622" s="1"/>
      <c r="J622" s="1"/>
      <c r="K622" s="1"/>
      <c r="L622" s="1"/>
      <c r="M622" s="1"/>
      <c r="N622" s="1"/>
    </row>
    <row r="623" spans="9:14" ht="15.75" customHeight="1" x14ac:dyDescent="0.15">
      <c r="I623" s="1"/>
      <c r="J623" s="1"/>
      <c r="K623" s="1"/>
      <c r="L623" s="1"/>
      <c r="M623" s="1"/>
      <c r="N623" s="1"/>
    </row>
    <row r="624" spans="9:14" ht="15.75" customHeight="1" x14ac:dyDescent="0.15">
      <c r="I624" s="1"/>
      <c r="J624" s="1"/>
      <c r="K624" s="1"/>
      <c r="L624" s="1"/>
      <c r="M624" s="1"/>
      <c r="N624" s="1"/>
    </row>
    <row r="625" spans="9:14" ht="15.75" customHeight="1" x14ac:dyDescent="0.15">
      <c r="I625" s="1"/>
      <c r="J625" s="1"/>
      <c r="K625" s="1"/>
      <c r="L625" s="1"/>
      <c r="M625" s="1"/>
      <c r="N625" s="1"/>
    </row>
    <row r="626" spans="9:14" ht="15.75" customHeight="1" x14ac:dyDescent="0.15">
      <c r="I626" s="1"/>
      <c r="J626" s="1"/>
      <c r="K626" s="1"/>
      <c r="L626" s="1"/>
      <c r="M626" s="1"/>
      <c r="N626" s="1"/>
    </row>
    <row r="627" spans="9:14" ht="15.75" customHeight="1" x14ac:dyDescent="0.15">
      <c r="I627" s="1"/>
      <c r="J627" s="1"/>
      <c r="K627" s="1"/>
      <c r="L627" s="1"/>
      <c r="M627" s="1"/>
      <c r="N627" s="1"/>
    </row>
    <row r="628" spans="9:14" ht="15.75" customHeight="1" x14ac:dyDescent="0.15">
      <c r="I628" s="1"/>
      <c r="J628" s="1"/>
      <c r="K628" s="1"/>
      <c r="L628" s="1"/>
      <c r="M628" s="1"/>
      <c r="N628" s="1"/>
    </row>
    <row r="629" spans="9:14" ht="15.75" customHeight="1" x14ac:dyDescent="0.15">
      <c r="I629" s="1"/>
      <c r="J629" s="1"/>
      <c r="K629" s="1"/>
      <c r="L629" s="1"/>
      <c r="M629" s="1"/>
      <c r="N629" s="1"/>
    </row>
    <row r="630" spans="9:14" ht="15.75" customHeight="1" x14ac:dyDescent="0.15">
      <c r="I630" s="1"/>
      <c r="J630" s="1"/>
      <c r="K630" s="1"/>
      <c r="L630" s="1"/>
      <c r="M630" s="1"/>
      <c r="N630" s="1"/>
    </row>
    <row r="631" spans="9:14" ht="15.75" customHeight="1" x14ac:dyDescent="0.15">
      <c r="I631" s="1"/>
      <c r="J631" s="1"/>
      <c r="K631" s="1"/>
      <c r="L631" s="1"/>
      <c r="M631" s="1"/>
      <c r="N631" s="1"/>
    </row>
    <row r="632" spans="9:14" ht="15.75" customHeight="1" x14ac:dyDescent="0.15">
      <c r="I632" s="1"/>
      <c r="J632" s="1"/>
      <c r="K632" s="1"/>
      <c r="L632" s="1"/>
      <c r="M632" s="1"/>
      <c r="N632" s="1"/>
    </row>
    <row r="633" spans="9:14" ht="15.75" customHeight="1" x14ac:dyDescent="0.15">
      <c r="I633" s="1"/>
      <c r="J633" s="1"/>
      <c r="K633" s="1"/>
      <c r="L633" s="1"/>
      <c r="M633" s="1"/>
      <c r="N633" s="1"/>
    </row>
    <row r="634" spans="9:14" ht="15.75" customHeight="1" x14ac:dyDescent="0.15">
      <c r="I634" s="1"/>
      <c r="J634" s="1"/>
      <c r="K634" s="1"/>
      <c r="L634" s="1"/>
      <c r="M634" s="1"/>
      <c r="N634" s="1"/>
    </row>
    <row r="635" spans="9:14" ht="15.75" customHeight="1" x14ac:dyDescent="0.15">
      <c r="I635" s="1"/>
      <c r="J635" s="1"/>
      <c r="K635" s="1"/>
      <c r="L635" s="1"/>
      <c r="M635" s="1"/>
      <c r="N635" s="1"/>
    </row>
    <row r="636" spans="9:14" ht="15.75" customHeight="1" x14ac:dyDescent="0.15">
      <c r="I636" s="1"/>
      <c r="J636" s="1"/>
      <c r="K636" s="1"/>
      <c r="L636" s="1"/>
      <c r="M636" s="1"/>
      <c r="N636" s="1"/>
    </row>
    <row r="637" spans="9:14" ht="15.75" customHeight="1" x14ac:dyDescent="0.15">
      <c r="I637" s="1"/>
      <c r="J637" s="1"/>
      <c r="K637" s="1"/>
      <c r="L637" s="1"/>
      <c r="M637" s="1"/>
      <c r="N637" s="1"/>
    </row>
    <row r="638" spans="9:14" ht="15.75" customHeight="1" x14ac:dyDescent="0.15">
      <c r="I638" s="1"/>
      <c r="J638" s="1"/>
      <c r="K638" s="1"/>
      <c r="L638" s="1"/>
      <c r="M638" s="1"/>
      <c r="N638" s="1"/>
    </row>
    <row r="639" spans="9:14" ht="15.75" customHeight="1" x14ac:dyDescent="0.15">
      <c r="I639" s="1"/>
      <c r="J639" s="1"/>
      <c r="K639" s="1"/>
      <c r="L639" s="1"/>
      <c r="M639" s="1"/>
      <c r="N639" s="1"/>
    </row>
    <row r="640" spans="9:14" ht="15.75" customHeight="1" x14ac:dyDescent="0.15">
      <c r="I640" s="1"/>
      <c r="J640" s="1"/>
      <c r="K640" s="1"/>
      <c r="L640" s="1"/>
      <c r="M640" s="1"/>
      <c r="N640" s="1"/>
    </row>
    <row r="641" spans="9:14" ht="15.75" customHeight="1" x14ac:dyDescent="0.15">
      <c r="I641" s="1"/>
      <c r="J641" s="1"/>
      <c r="K641" s="1"/>
      <c r="L641" s="1"/>
      <c r="M641" s="1"/>
      <c r="N641" s="1"/>
    </row>
    <row r="642" spans="9:14" ht="15.75" customHeight="1" x14ac:dyDescent="0.15">
      <c r="I642" s="1"/>
      <c r="J642" s="1"/>
      <c r="K642" s="1"/>
      <c r="L642" s="1"/>
      <c r="M642" s="1"/>
      <c r="N642" s="1"/>
    </row>
    <row r="643" spans="9:14" ht="15.75" customHeight="1" x14ac:dyDescent="0.15">
      <c r="I643" s="1"/>
      <c r="J643" s="1"/>
      <c r="K643" s="1"/>
      <c r="L643" s="1"/>
      <c r="M643" s="1"/>
      <c r="N643" s="1"/>
    </row>
    <row r="644" spans="9:14" ht="15.75" customHeight="1" x14ac:dyDescent="0.15">
      <c r="I644" s="1"/>
      <c r="J644" s="1"/>
      <c r="K644" s="1"/>
      <c r="L644" s="1"/>
      <c r="M644" s="1"/>
      <c r="N644" s="1"/>
    </row>
    <row r="645" spans="9:14" ht="15.75" customHeight="1" x14ac:dyDescent="0.15">
      <c r="I645" s="1"/>
      <c r="J645" s="1"/>
      <c r="K645" s="1"/>
      <c r="L645" s="1"/>
      <c r="M645" s="1"/>
      <c r="N645" s="1"/>
    </row>
    <row r="646" spans="9:14" ht="15.75" customHeight="1" x14ac:dyDescent="0.15">
      <c r="I646" s="1"/>
      <c r="J646" s="1"/>
      <c r="K646" s="1"/>
      <c r="L646" s="1"/>
      <c r="M646" s="1"/>
      <c r="N646" s="1"/>
    </row>
    <row r="647" spans="9:14" ht="15.75" customHeight="1" x14ac:dyDescent="0.15">
      <c r="I647" s="1"/>
      <c r="J647" s="1"/>
      <c r="K647" s="1"/>
      <c r="L647" s="1"/>
      <c r="M647" s="1"/>
      <c r="N647" s="1"/>
    </row>
    <row r="648" spans="9:14" ht="15.75" customHeight="1" x14ac:dyDescent="0.15">
      <c r="I648" s="1"/>
      <c r="J648" s="1"/>
      <c r="K648" s="1"/>
      <c r="L648" s="1"/>
      <c r="M648" s="1"/>
      <c r="N648" s="1"/>
    </row>
    <row r="649" spans="9:14" ht="15.75" customHeight="1" x14ac:dyDescent="0.15">
      <c r="I649" s="1"/>
      <c r="J649" s="1"/>
      <c r="K649" s="1"/>
      <c r="L649" s="1"/>
      <c r="M649" s="1"/>
      <c r="N649" s="1"/>
    </row>
    <row r="650" spans="9:14" ht="15.75" customHeight="1" x14ac:dyDescent="0.15">
      <c r="I650" s="1"/>
      <c r="J650" s="1"/>
      <c r="K650" s="1"/>
      <c r="L650" s="1"/>
      <c r="M650" s="1"/>
      <c r="N650" s="1"/>
    </row>
    <row r="651" spans="9:14" ht="15.75" customHeight="1" x14ac:dyDescent="0.15">
      <c r="I651" s="1"/>
      <c r="J651" s="1"/>
      <c r="K651" s="1"/>
      <c r="L651" s="1"/>
      <c r="M651" s="1"/>
      <c r="N651" s="1"/>
    </row>
    <row r="652" spans="9:14" ht="15.75" customHeight="1" x14ac:dyDescent="0.15">
      <c r="I652" s="1"/>
      <c r="J652" s="1"/>
      <c r="K652" s="1"/>
      <c r="L652" s="1"/>
      <c r="M652" s="1"/>
      <c r="N652" s="1"/>
    </row>
    <row r="653" spans="9:14" ht="15.75" customHeight="1" x14ac:dyDescent="0.15">
      <c r="I653" s="1"/>
      <c r="J653" s="1"/>
      <c r="K653" s="1"/>
      <c r="L653" s="1"/>
      <c r="M653" s="1"/>
      <c r="N653" s="1"/>
    </row>
    <row r="654" spans="9:14" ht="15.75" customHeight="1" x14ac:dyDescent="0.15">
      <c r="I654" s="1"/>
      <c r="J654" s="1"/>
      <c r="K654" s="1"/>
      <c r="L654" s="1"/>
      <c r="M654" s="1"/>
      <c r="N654" s="1"/>
    </row>
    <row r="655" spans="9:14" ht="15.75" customHeight="1" x14ac:dyDescent="0.15">
      <c r="I655" s="1"/>
      <c r="J655" s="1"/>
      <c r="K655" s="1"/>
      <c r="L655" s="1"/>
      <c r="M655" s="1"/>
      <c r="N655" s="1"/>
    </row>
    <row r="656" spans="9:14" ht="15.75" customHeight="1" x14ac:dyDescent="0.15">
      <c r="I656" s="1"/>
      <c r="J656" s="1"/>
      <c r="K656" s="1"/>
      <c r="L656" s="1"/>
      <c r="M656" s="1"/>
      <c r="N656" s="1"/>
    </row>
    <row r="657" spans="9:14" ht="15.75" customHeight="1" x14ac:dyDescent="0.15">
      <c r="I657" s="1"/>
      <c r="J657" s="1"/>
      <c r="K657" s="1"/>
      <c r="L657" s="1"/>
      <c r="M657" s="1"/>
      <c r="N657" s="1"/>
    </row>
    <row r="658" spans="9:14" ht="15.75" customHeight="1" x14ac:dyDescent="0.15">
      <c r="I658" s="1"/>
      <c r="J658" s="1"/>
      <c r="K658" s="1"/>
      <c r="L658" s="1"/>
      <c r="M658" s="1"/>
      <c r="N658" s="1"/>
    </row>
    <row r="659" spans="9:14" ht="15.75" customHeight="1" x14ac:dyDescent="0.15">
      <c r="I659" s="1"/>
      <c r="J659" s="1"/>
      <c r="K659" s="1"/>
      <c r="L659" s="1"/>
      <c r="M659" s="1"/>
      <c r="N659" s="1"/>
    </row>
    <row r="660" spans="9:14" ht="15.75" customHeight="1" x14ac:dyDescent="0.15">
      <c r="I660" s="1"/>
      <c r="J660" s="1"/>
      <c r="K660" s="1"/>
      <c r="L660" s="1"/>
      <c r="M660" s="1"/>
      <c r="N660" s="1"/>
    </row>
    <row r="661" spans="9:14" ht="15.75" customHeight="1" x14ac:dyDescent="0.15">
      <c r="I661" s="1"/>
      <c r="J661" s="1"/>
      <c r="K661" s="1"/>
      <c r="L661" s="1"/>
      <c r="M661" s="1"/>
      <c r="N661" s="1"/>
    </row>
    <row r="662" spans="9:14" ht="15.75" customHeight="1" x14ac:dyDescent="0.15">
      <c r="I662" s="1"/>
      <c r="J662" s="1"/>
      <c r="K662" s="1"/>
      <c r="L662" s="1"/>
      <c r="M662" s="1"/>
      <c r="N662" s="1"/>
    </row>
    <row r="663" spans="9:14" ht="15.75" customHeight="1" x14ac:dyDescent="0.15">
      <c r="I663" s="1"/>
      <c r="J663" s="1"/>
      <c r="K663" s="1"/>
      <c r="L663" s="1"/>
      <c r="M663" s="1"/>
      <c r="N663" s="1"/>
    </row>
    <row r="664" spans="9:14" ht="15.75" customHeight="1" x14ac:dyDescent="0.15">
      <c r="I664" s="1"/>
      <c r="J664" s="1"/>
      <c r="K664" s="1"/>
      <c r="L664" s="1"/>
      <c r="M664" s="1"/>
      <c r="N664" s="1"/>
    </row>
    <row r="665" spans="9:14" ht="15.75" customHeight="1" x14ac:dyDescent="0.15">
      <c r="I665" s="1"/>
      <c r="J665" s="1"/>
      <c r="K665" s="1"/>
      <c r="L665" s="1"/>
      <c r="M665" s="1"/>
      <c r="N665" s="1"/>
    </row>
    <row r="666" spans="9:14" ht="15.75" customHeight="1" x14ac:dyDescent="0.15">
      <c r="I666" s="1"/>
      <c r="J666" s="1"/>
      <c r="K666" s="1"/>
      <c r="L666" s="1"/>
      <c r="M666" s="1"/>
      <c r="N666" s="1"/>
    </row>
    <row r="667" spans="9:14" ht="15.75" customHeight="1" x14ac:dyDescent="0.15">
      <c r="I667" s="1"/>
      <c r="J667" s="1"/>
      <c r="K667" s="1"/>
      <c r="L667" s="1"/>
      <c r="M667" s="1"/>
      <c r="N667" s="1"/>
    </row>
    <row r="668" spans="9:14" ht="15.75" customHeight="1" x14ac:dyDescent="0.15">
      <c r="I668" s="1"/>
      <c r="J668" s="1"/>
      <c r="K668" s="1"/>
      <c r="L668" s="1"/>
      <c r="M668" s="1"/>
      <c r="N668" s="1"/>
    </row>
    <row r="669" spans="9:14" ht="15.75" customHeight="1" x14ac:dyDescent="0.15">
      <c r="I669" s="1"/>
      <c r="J669" s="1"/>
      <c r="K669" s="1"/>
      <c r="L669" s="1"/>
      <c r="M669" s="1"/>
      <c r="N669" s="1"/>
    </row>
    <row r="670" spans="9:14" ht="15.75" customHeight="1" x14ac:dyDescent="0.15">
      <c r="I670" s="1"/>
      <c r="J670" s="1"/>
      <c r="K670" s="1"/>
      <c r="L670" s="1"/>
      <c r="M670" s="1"/>
      <c r="N670" s="1"/>
    </row>
    <row r="671" spans="9:14" ht="15.75" customHeight="1" x14ac:dyDescent="0.15">
      <c r="I671" s="1"/>
      <c r="J671" s="1"/>
      <c r="K671" s="1"/>
      <c r="L671" s="1"/>
      <c r="M671" s="1"/>
      <c r="N671" s="1"/>
    </row>
    <row r="672" spans="9:14" ht="15.75" customHeight="1" x14ac:dyDescent="0.15">
      <c r="I672" s="1"/>
      <c r="J672" s="1"/>
      <c r="K672" s="1"/>
      <c r="L672" s="1"/>
      <c r="M672" s="1"/>
      <c r="N672" s="1"/>
    </row>
    <row r="673" spans="9:14" ht="15.75" customHeight="1" x14ac:dyDescent="0.15">
      <c r="I673" s="1"/>
      <c r="J673" s="1"/>
      <c r="K673" s="1"/>
      <c r="L673" s="1"/>
      <c r="M673" s="1"/>
      <c r="N673" s="1"/>
    </row>
    <row r="674" spans="9:14" ht="15.75" customHeight="1" x14ac:dyDescent="0.15">
      <c r="I674" s="1"/>
      <c r="J674" s="1"/>
      <c r="K674" s="1"/>
      <c r="L674" s="1"/>
      <c r="M674" s="1"/>
      <c r="N674" s="1"/>
    </row>
    <row r="675" spans="9:14" ht="15.75" customHeight="1" x14ac:dyDescent="0.15">
      <c r="I675" s="1"/>
      <c r="J675" s="1"/>
      <c r="K675" s="1"/>
      <c r="L675" s="1"/>
      <c r="M675" s="1"/>
      <c r="N675" s="1"/>
    </row>
    <row r="676" spans="9:14" ht="15.75" customHeight="1" x14ac:dyDescent="0.15">
      <c r="I676" s="1"/>
      <c r="J676" s="1"/>
      <c r="K676" s="1"/>
      <c r="L676" s="1"/>
      <c r="M676" s="1"/>
      <c r="N676" s="1"/>
    </row>
    <row r="677" spans="9:14" ht="15.75" customHeight="1" x14ac:dyDescent="0.15">
      <c r="I677" s="1"/>
      <c r="J677" s="1"/>
      <c r="K677" s="1"/>
      <c r="L677" s="1"/>
      <c r="M677" s="1"/>
      <c r="N677" s="1"/>
    </row>
    <row r="678" spans="9:14" ht="15.75" customHeight="1" x14ac:dyDescent="0.15">
      <c r="I678" s="1"/>
      <c r="J678" s="1"/>
      <c r="K678" s="1"/>
      <c r="L678" s="1"/>
      <c r="M678" s="1"/>
      <c r="N678" s="1"/>
    </row>
    <row r="679" spans="9:14" ht="15.75" customHeight="1" x14ac:dyDescent="0.15">
      <c r="I679" s="1"/>
      <c r="J679" s="1"/>
      <c r="K679" s="1"/>
      <c r="L679" s="1"/>
      <c r="M679" s="1"/>
      <c r="N679" s="1"/>
    </row>
    <row r="680" spans="9:14" ht="15.75" customHeight="1" x14ac:dyDescent="0.15">
      <c r="I680" s="1"/>
      <c r="J680" s="1"/>
      <c r="K680" s="1"/>
      <c r="L680" s="1"/>
      <c r="M680" s="1"/>
      <c r="N680" s="1"/>
    </row>
    <row r="681" spans="9:14" ht="15.75" customHeight="1" x14ac:dyDescent="0.15">
      <c r="I681" s="1"/>
      <c r="J681" s="1"/>
      <c r="K681" s="1"/>
      <c r="L681" s="1"/>
      <c r="M681" s="1"/>
      <c r="N681" s="1"/>
    </row>
    <row r="682" spans="9:14" ht="15.75" customHeight="1" x14ac:dyDescent="0.15">
      <c r="I682" s="1"/>
      <c r="J682" s="1"/>
      <c r="K682" s="1"/>
      <c r="L682" s="1"/>
      <c r="M682" s="1"/>
      <c r="N682" s="1"/>
    </row>
    <row r="683" spans="9:14" ht="15.75" customHeight="1" x14ac:dyDescent="0.15">
      <c r="I683" s="1"/>
      <c r="J683" s="1"/>
      <c r="K683" s="1"/>
      <c r="L683" s="1"/>
      <c r="M683" s="1"/>
      <c r="N683" s="1"/>
    </row>
    <row r="684" spans="9:14" ht="15.75" customHeight="1" x14ac:dyDescent="0.15">
      <c r="I684" s="1"/>
      <c r="J684" s="1"/>
      <c r="K684" s="1"/>
      <c r="L684" s="1"/>
      <c r="M684" s="1"/>
      <c r="N684" s="1"/>
    </row>
    <row r="685" spans="9:14" ht="15.75" customHeight="1" x14ac:dyDescent="0.15">
      <c r="I685" s="1"/>
      <c r="J685" s="1"/>
      <c r="K685" s="1"/>
      <c r="L685" s="1"/>
      <c r="M685" s="1"/>
      <c r="N685" s="1"/>
    </row>
    <row r="686" spans="9:14" ht="15.75" customHeight="1" x14ac:dyDescent="0.15">
      <c r="I686" s="1"/>
      <c r="J686" s="1"/>
      <c r="K686" s="1"/>
      <c r="L686" s="1"/>
      <c r="M686" s="1"/>
      <c r="N686" s="1"/>
    </row>
    <row r="687" spans="9:14" ht="15.75" customHeight="1" x14ac:dyDescent="0.15">
      <c r="I687" s="1"/>
      <c r="J687" s="1"/>
      <c r="K687" s="1"/>
      <c r="L687" s="1"/>
      <c r="M687" s="1"/>
      <c r="N687" s="1"/>
    </row>
    <row r="688" spans="9:14" ht="15.75" customHeight="1" x14ac:dyDescent="0.15">
      <c r="I688" s="1"/>
      <c r="J688" s="1"/>
      <c r="K688" s="1"/>
      <c r="L688" s="1"/>
      <c r="M688" s="1"/>
      <c r="N688" s="1"/>
    </row>
    <row r="689" spans="9:14" ht="15.75" customHeight="1" x14ac:dyDescent="0.15">
      <c r="I689" s="1"/>
      <c r="J689" s="1"/>
      <c r="K689" s="1"/>
      <c r="L689" s="1"/>
      <c r="M689" s="1"/>
      <c r="N689" s="1"/>
    </row>
    <row r="690" spans="9:14" ht="15.75" customHeight="1" x14ac:dyDescent="0.15">
      <c r="I690" s="1"/>
      <c r="J690" s="1"/>
      <c r="K690" s="1"/>
      <c r="L690" s="1"/>
      <c r="M690" s="1"/>
      <c r="N690" s="1"/>
    </row>
    <row r="691" spans="9:14" ht="15.75" customHeight="1" x14ac:dyDescent="0.15">
      <c r="I691" s="1"/>
      <c r="J691" s="1"/>
      <c r="K691" s="1"/>
      <c r="L691" s="1"/>
      <c r="M691" s="1"/>
      <c r="N691" s="1"/>
    </row>
    <row r="692" spans="9:14" ht="15.75" customHeight="1" x14ac:dyDescent="0.15">
      <c r="I692" s="1"/>
      <c r="J692" s="1"/>
      <c r="K692" s="1"/>
      <c r="L692" s="1"/>
      <c r="M692" s="1"/>
      <c r="N692" s="1"/>
    </row>
    <row r="693" spans="9:14" ht="15.75" customHeight="1" x14ac:dyDescent="0.15">
      <c r="I693" s="1"/>
      <c r="J693" s="1"/>
      <c r="K693" s="1"/>
      <c r="L693" s="1"/>
      <c r="M693" s="1"/>
      <c r="N693" s="1"/>
    </row>
    <row r="694" spans="9:14" ht="15.75" customHeight="1" x14ac:dyDescent="0.15">
      <c r="I694" s="1"/>
      <c r="J694" s="1"/>
      <c r="K694" s="1"/>
      <c r="L694" s="1"/>
      <c r="M694" s="1"/>
      <c r="N694" s="1"/>
    </row>
    <row r="695" spans="9:14" ht="15.75" customHeight="1" x14ac:dyDescent="0.15">
      <c r="I695" s="1"/>
      <c r="J695" s="1"/>
      <c r="K695" s="1"/>
      <c r="L695" s="1"/>
      <c r="M695" s="1"/>
      <c r="N695" s="1"/>
    </row>
    <row r="696" spans="9:14" ht="15.75" customHeight="1" x14ac:dyDescent="0.15">
      <c r="I696" s="1"/>
      <c r="J696" s="1"/>
      <c r="K696" s="1"/>
      <c r="L696" s="1"/>
      <c r="M696" s="1"/>
      <c r="N696" s="1"/>
    </row>
    <row r="697" spans="9:14" ht="15.75" customHeight="1" x14ac:dyDescent="0.15">
      <c r="I697" s="1"/>
      <c r="J697" s="1"/>
      <c r="K697" s="1"/>
      <c r="L697" s="1"/>
      <c r="M697" s="1"/>
      <c r="N697" s="1"/>
    </row>
    <row r="698" spans="9:14" ht="15.75" customHeight="1" x14ac:dyDescent="0.15">
      <c r="I698" s="1"/>
      <c r="J698" s="1"/>
      <c r="K698" s="1"/>
      <c r="L698" s="1"/>
      <c r="M698" s="1"/>
      <c r="N698" s="1"/>
    </row>
    <row r="699" spans="9:14" ht="15.75" customHeight="1" x14ac:dyDescent="0.15">
      <c r="I699" s="1"/>
      <c r="J699" s="1"/>
      <c r="K699" s="1"/>
      <c r="L699" s="1"/>
      <c r="M699" s="1"/>
      <c r="N699" s="1"/>
    </row>
    <row r="700" spans="9:14" ht="15.75" customHeight="1" x14ac:dyDescent="0.15">
      <c r="I700" s="1"/>
      <c r="J700" s="1"/>
      <c r="K700" s="1"/>
      <c r="L700" s="1"/>
      <c r="M700" s="1"/>
      <c r="N700" s="1"/>
    </row>
    <row r="701" spans="9:14" ht="15.75" customHeight="1" x14ac:dyDescent="0.15">
      <c r="I701" s="1"/>
      <c r="J701" s="1"/>
      <c r="K701" s="1"/>
      <c r="L701" s="1"/>
      <c r="M701" s="1"/>
      <c r="N701" s="1"/>
    </row>
    <row r="702" spans="9:14" ht="15.75" customHeight="1" x14ac:dyDescent="0.15">
      <c r="I702" s="1"/>
      <c r="J702" s="1"/>
      <c r="K702" s="1"/>
      <c r="L702" s="1"/>
      <c r="M702" s="1"/>
      <c r="N702" s="1"/>
    </row>
    <row r="703" spans="9:14" ht="15.75" customHeight="1" x14ac:dyDescent="0.15">
      <c r="I703" s="1"/>
      <c r="J703" s="1"/>
      <c r="K703" s="1"/>
      <c r="L703" s="1"/>
      <c r="M703" s="1"/>
      <c r="N703" s="1"/>
    </row>
    <row r="704" spans="9:14" ht="15.75" customHeight="1" x14ac:dyDescent="0.15">
      <c r="I704" s="1"/>
      <c r="J704" s="1"/>
      <c r="K704" s="1"/>
      <c r="L704" s="1"/>
      <c r="M704" s="1"/>
      <c r="N704" s="1"/>
    </row>
    <row r="705" spans="9:14" ht="15.75" customHeight="1" x14ac:dyDescent="0.15">
      <c r="I705" s="1"/>
      <c r="J705" s="1"/>
      <c r="K705" s="1"/>
      <c r="L705" s="1"/>
      <c r="M705" s="1"/>
      <c r="N705" s="1"/>
    </row>
    <row r="706" spans="9:14" ht="15.75" customHeight="1" x14ac:dyDescent="0.15">
      <c r="I706" s="1"/>
      <c r="J706" s="1"/>
      <c r="K706" s="1"/>
      <c r="L706" s="1"/>
      <c r="M706" s="1"/>
      <c r="N706" s="1"/>
    </row>
    <row r="707" spans="9:14" ht="15.75" customHeight="1" x14ac:dyDescent="0.15">
      <c r="I707" s="1"/>
      <c r="J707" s="1"/>
      <c r="K707" s="1"/>
      <c r="L707" s="1"/>
      <c r="M707" s="1"/>
      <c r="N707" s="1"/>
    </row>
    <row r="708" spans="9:14" ht="15.75" customHeight="1" x14ac:dyDescent="0.15">
      <c r="I708" s="1"/>
      <c r="J708" s="1"/>
      <c r="K708" s="1"/>
      <c r="L708" s="1"/>
      <c r="M708" s="1"/>
      <c r="N708" s="1"/>
    </row>
    <row r="709" spans="9:14" ht="15.75" customHeight="1" x14ac:dyDescent="0.15">
      <c r="I709" s="1"/>
      <c r="J709" s="1"/>
      <c r="K709" s="1"/>
      <c r="L709" s="1"/>
      <c r="M709" s="1"/>
      <c r="N709" s="1"/>
    </row>
    <row r="710" spans="9:14" ht="15.75" customHeight="1" x14ac:dyDescent="0.15">
      <c r="I710" s="1"/>
      <c r="J710" s="1"/>
      <c r="K710" s="1"/>
      <c r="L710" s="1"/>
      <c r="M710" s="1"/>
      <c r="N710" s="1"/>
    </row>
    <row r="711" spans="9:14" ht="15.75" customHeight="1" x14ac:dyDescent="0.15">
      <c r="I711" s="1"/>
      <c r="J711" s="1"/>
      <c r="K711" s="1"/>
      <c r="L711" s="1"/>
      <c r="M711" s="1"/>
      <c r="N711" s="1"/>
    </row>
    <row r="712" spans="9:14" ht="15.75" customHeight="1" x14ac:dyDescent="0.15">
      <c r="I712" s="1"/>
      <c r="J712" s="1"/>
      <c r="K712" s="1"/>
      <c r="L712" s="1"/>
      <c r="M712" s="1"/>
      <c r="N712" s="1"/>
    </row>
    <row r="713" spans="9:14" ht="15.75" customHeight="1" x14ac:dyDescent="0.15">
      <c r="I713" s="1"/>
      <c r="J713" s="1"/>
      <c r="K713" s="1"/>
      <c r="L713" s="1"/>
      <c r="M713" s="1"/>
      <c r="N713" s="1"/>
    </row>
    <row r="714" spans="9:14" ht="15.75" customHeight="1" x14ac:dyDescent="0.15">
      <c r="I714" s="1"/>
      <c r="J714" s="1"/>
      <c r="K714" s="1"/>
      <c r="L714" s="1"/>
      <c r="M714" s="1"/>
      <c r="N714" s="1"/>
    </row>
    <row r="715" spans="9:14" ht="15.75" customHeight="1" x14ac:dyDescent="0.15">
      <c r="I715" s="1"/>
      <c r="J715" s="1"/>
      <c r="K715" s="1"/>
      <c r="L715" s="1"/>
      <c r="M715" s="1"/>
      <c r="N715" s="1"/>
    </row>
    <row r="716" spans="9:14" ht="15.75" customHeight="1" x14ac:dyDescent="0.15">
      <c r="I716" s="1"/>
      <c r="J716" s="1"/>
      <c r="K716" s="1"/>
      <c r="L716" s="1"/>
      <c r="M716" s="1"/>
      <c r="N716" s="1"/>
    </row>
    <row r="717" spans="9:14" ht="15.75" customHeight="1" x14ac:dyDescent="0.15">
      <c r="I717" s="1"/>
      <c r="J717" s="1"/>
      <c r="K717" s="1"/>
      <c r="L717" s="1"/>
      <c r="M717" s="1"/>
      <c r="N717" s="1"/>
    </row>
    <row r="718" spans="9:14" ht="15.75" customHeight="1" x14ac:dyDescent="0.15">
      <c r="I718" s="1"/>
      <c r="J718" s="1"/>
      <c r="K718" s="1"/>
      <c r="L718" s="1"/>
      <c r="M718" s="1"/>
      <c r="N718" s="1"/>
    </row>
    <row r="719" spans="9:14" ht="15.75" customHeight="1" x14ac:dyDescent="0.15">
      <c r="I719" s="1"/>
      <c r="J719" s="1"/>
      <c r="K719" s="1"/>
      <c r="L719" s="1"/>
      <c r="M719" s="1"/>
      <c r="N719" s="1"/>
    </row>
    <row r="720" spans="9:14" ht="15.75" customHeight="1" x14ac:dyDescent="0.15">
      <c r="I720" s="1"/>
      <c r="J720" s="1"/>
      <c r="K720" s="1"/>
      <c r="L720" s="1"/>
      <c r="M720" s="1"/>
      <c r="N720" s="1"/>
    </row>
    <row r="721" spans="9:14" ht="15.75" customHeight="1" x14ac:dyDescent="0.15">
      <c r="I721" s="1"/>
      <c r="J721" s="1"/>
      <c r="K721" s="1"/>
      <c r="L721" s="1"/>
      <c r="M721" s="1"/>
      <c r="N721" s="1"/>
    </row>
    <row r="722" spans="9:14" ht="15.75" customHeight="1" x14ac:dyDescent="0.15">
      <c r="I722" s="1"/>
      <c r="J722" s="1"/>
      <c r="K722" s="1"/>
      <c r="L722" s="1"/>
      <c r="M722" s="1"/>
      <c r="N722" s="1"/>
    </row>
    <row r="723" spans="9:14" ht="15.75" customHeight="1" x14ac:dyDescent="0.15">
      <c r="I723" s="1"/>
      <c r="J723" s="1"/>
      <c r="K723" s="1"/>
      <c r="L723" s="1"/>
      <c r="M723" s="1"/>
      <c r="N723" s="1"/>
    </row>
    <row r="724" spans="9:14" ht="15.75" customHeight="1" x14ac:dyDescent="0.15">
      <c r="I724" s="1"/>
      <c r="J724" s="1"/>
      <c r="K724" s="1"/>
      <c r="L724" s="1"/>
      <c r="M724" s="1"/>
      <c r="N724" s="1"/>
    </row>
    <row r="725" spans="9:14" ht="15.75" customHeight="1" x14ac:dyDescent="0.15">
      <c r="I725" s="1"/>
      <c r="J725" s="1"/>
      <c r="K725" s="1"/>
      <c r="L725" s="1"/>
      <c r="M725" s="1"/>
      <c r="N725" s="1"/>
    </row>
    <row r="726" spans="9:14" ht="15.75" customHeight="1" x14ac:dyDescent="0.15">
      <c r="I726" s="1"/>
      <c r="J726" s="1"/>
      <c r="K726" s="1"/>
      <c r="L726" s="1"/>
      <c r="M726" s="1"/>
      <c r="N726" s="1"/>
    </row>
    <row r="727" spans="9:14" ht="15.75" customHeight="1" x14ac:dyDescent="0.15">
      <c r="I727" s="1"/>
      <c r="J727" s="1"/>
      <c r="K727" s="1"/>
      <c r="L727" s="1"/>
      <c r="M727" s="1"/>
      <c r="N727" s="1"/>
    </row>
    <row r="728" spans="9:14" ht="15.75" customHeight="1" x14ac:dyDescent="0.15">
      <c r="I728" s="1"/>
      <c r="J728" s="1"/>
      <c r="K728" s="1"/>
      <c r="L728" s="1"/>
      <c r="M728" s="1"/>
      <c r="N728" s="1"/>
    </row>
    <row r="729" spans="9:14" ht="15.75" customHeight="1" x14ac:dyDescent="0.15">
      <c r="I729" s="1"/>
      <c r="J729" s="1"/>
      <c r="K729" s="1"/>
      <c r="L729" s="1"/>
      <c r="M729" s="1"/>
      <c r="N729" s="1"/>
    </row>
    <row r="730" spans="9:14" ht="15.75" customHeight="1" x14ac:dyDescent="0.15">
      <c r="I730" s="1"/>
      <c r="J730" s="1"/>
      <c r="K730" s="1"/>
      <c r="L730" s="1"/>
      <c r="M730" s="1"/>
      <c r="N730" s="1"/>
    </row>
    <row r="731" spans="9:14" ht="15.75" customHeight="1" x14ac:dyDescent="0.15">
      <c r="I731" s="1"/>
      <c r="J731" s="1"/>
      <c r="K731" s="1"/>
      <c r="L731" s="1"/>
      <c r="M731" s="1"/>
      <c r="N731" s="1"/>
    </row>
    <row r="732" spans="9:14" ht="15.75" customHeight="1" x14ac:dyDescent="0.15">
      <c r="I732" s="1"/>
      <c r="J732" s="1"/>
      <c r="K732" s="1"/>
      <c r="L732" s="1"/>
      <c r="M732" s="1"/>
      <c r="N732" s="1"/>
    </row>
    <row r="733" spans="9:14" ht="15.75" customHeight="1" x14ac:dyDescent="0.15">
      <c r="I733" s="1"/>
      <c r="J733" s="1"/>
      <c r="K733" s="1"/>
      <c r="L733" s="1"/>
      <c r="M733" s="1"/>
      <c r="N733" s="1"/>
    </row>
    <row r="734" spans="9:14" ht="15.75" customHeight="1" x14ac:dyDescent="0.15">
      <c r="I734" s="1"/>
      <c r="J734" s="1"/>
      <c r="K734" s="1"/>
      <c r="L734" s="1"/>
      <c r="M734" s="1"/>
      <c r="N734" s="1"/>
    </row>
    <row r="735" spans="9:14" ht="15.75" customHeight="1" x14ac:dyDescent="0.15">
      <c r="I735" s="1"/>
      <c r="J735" s="1"/>
      <c r="K735" s="1"/>
      <c r="L735" s="1"/>
      <c r="M735" s="1"/>
      <c r="N735" s="1"/>
    </row>
    <row r="736" spans="9:14" ht="15.75" customHeight="1" x14ac:dyDescent="0.15">
      <c r="I736" s="1"/>
      <c r="J736" s="1"/>
      <c r="K736" s="1"/>
      <c r="L736" s="1"/>
      <c r="M736" s="1"/>
      <c r="N736" s="1"/>
    </row>
    <row r="737" spans="9:14" ht="15.75" customHeight="1" x14ac:dyDescent="0.15">
      <c r="I737" s="1"/>
      <c r="J737" s="1"/>
      <c r="K737" s="1"/>
      <c r="L737" s="1"/>
      <c r="M737" s="1"/>
      <c r="N737" s="1"/>
    </row>
    <row r="738" spans="9:14" ht="15.75" customHeight="1" x14ac:dyDescent="0.15">
      <c r="I738" s="1"/>
      <c r="J738" s="1"/>
      <c r="K738" s="1"/>
      <c r="L738" s="1"/>
      <c r="M738" s="1"/>
      <c r="N738" s="1"/>
    </row>
    <row r="739" spans="9:14" ht="15.75" customHeight="1" x14ac:dyDescent="0.15">
      <c r="I739" s="1"/>
      <c r="J739" s="1"/>
      <c r="K739" s="1"/>
      <c r="L739" s="1"/>
      <c r="M739" s="1"/>
      <c r="N739" s="1"/>
    </row>
    <row r="740" spans="9:14" ht="15.75" customHeight="1" x14ac:dyDescent="0.15">
      <c r="I740" s="1"/>
      <c r="J740" s="1"/>
      <c r="K740" s="1"/>
      <c r="L740" s="1"/>
      <c r="M740" s="1"/>
      <c r="N740" s="1"/>
    </row>
    <row r="741" spans="9:14" ht="15.75" customHeight="1" x14ac:dyDescent="0.15">
      <c r="I741" s="1"/>
      <c r="J741" s="1"/>
      <c r="K741" s="1"/>
      <c r="L741" s="1"/>
      <c r="M741" s="1"/>
      <c r="N741" s="1"/>
    </row>
    <row r="742" spans="9:14" ht="15.75" customHeight="1" x14ac:dyDescent="0.15">
      <c r="I742" s="1"/>
      <c r="J742" s="1"/>
      <c r="K742" s="1"/>
      <c r="L742" s="1"/>
      <c r="M742" s="1"/>
      <c r="N742" s="1"/>
    </row>
    <row r="743" spans="9:14" ht="15.75" customHeight="1" x14ac:dyDescent="0.15">
      <c r="I743" s="1"/>
      <c r="J743" s="1"/>
      <c r="K743" s="1"/>
      <c r="L743" s="1"/>
      <c r="M743" s="1"/>
      <c r="N743" s="1"/>
    </row>
    <row r="744" spans="9:14" ht="15.75" customHeight="1" x14ac:dyDescent="0.15">
      <c r="I744" s="1"/>
      <c r="J744" s="1"/>
      <c r="K744" s="1"/>
      <c r="L744" s="1"/>
      <c r="M744" s="1"/>
      <c r="N744" s="1"/>
    </row>
    <row r="745" spans="9:14" ht="15.75" customHeight="1" x14ac:dyDescent="0.15">
      <c r="I745" s="1"/>
      <c r="J745" s="1"/>
      <c r="K745" s="1"/>
      <c r="L745" s="1"/>
      <c r="M745" s="1"/>
      <c r="N745" s="1"/>
    </row>
    <row r="746" spans="9:14" ht="15.75" customHeight="1" x14ac:dyDescent="0.15">
      <c r="I746" s="1"/>
      <c r="J746" s="1"/>
      <c r="K746" s="1"/>
      <c r="L746" s="1"/>
      <c r="M746" s="1"/>
      <c r="N746" s="1"/>
    </row>
    <row r="747" spans="9:14" ht="15.75" customHeight="1" x14ac:dyDescent="0.15">
      <c r="I747" s="1"/>
      <c r="J747" s="1"/>
      <c r="K747" s="1"/>
      <c r="L747" s="1"/>
      <c r="M747" s="1"/>
      <c r="N747" s="1"/>
    </row>
    <row r="748" spans="9:14" ht="15.75" customHeight="1" x14ac:dyDescent="0.15">
      <c r="I748" s="1"/>
      <c r="J748" s="1"/>
      <c r="K748" s="1"/>
      <c r="L748" s="1"/>
      <c r="M748" s="1"/>
      <c r="N748" s="1"/>
    </row>
    <row r="749" spans="9:14" ht="15.75" customHeight="1" x14ac:dyDescent="0.15">
      <c r="I749" s="1"/>
      <c r="J749" s="1"/>
      <c r="K749" s="1"/>
      <c r="L749" s="1"/>
      <c r="M749" s="1"/>
      <c r="N749" s="1"/>
    </row>
    <row r="750" spans="9:14" ht="15.75" customHeight="1" x14ac:dyDescent="0.15">
      <c r="I750" s="1"/>
      <c r="J750" s="1"/>
      <c r="K750" s="1"/>
      <c r="L750" s="1"/>
      <c r="M750" s="1"/>
      <c r="N750" s="1"/>
    </row>
    <row r="751" spans="9:14" ht="15.75" customHeight="1" x14ac:dyDescent="0.15">
      <c r="I751" s="1"/>
      <c r="J751" s="1"/>
      <c r="K751" s="1"/>
      <c r="L751" s="1"/>
      <c r="M751" s="1"/>
      <c r="N751" s="1"/>
    </row>
    <row r="752" spans="9:14" ht="15.75" customHeight="1" x14ac:dyDescent="0.15">
      <c r="I752" s="1"/>
      <c r="J752" s="1"/>
      <c r="K752" s="1"/>
      <c r="L752" s="1"/>
      <c r="M752" s="1"/>
      <c r="N752" s="1"/>
    </row>
    <row r="753" spans="9:14" ht="15.75" customHeight="1" x14ac:dyDescent="0.15">
      <c r="I753" s="1"/>
      <c r="J753" s="1"/>
      <c r="K753" s="1"/>
      <c r="L753" s="1"/>
      <c r="M753" s="1"/>
      <c r="N753" s="1"/>
    </row>
    <row r="754" spans="9:14" ht="15.75" customHeight="1" x14ac:dyDescent="0.15">
      <c r="I754" s="1"/>
      <c r="J754" s="1"/>
      <c r="K754" s="1"/>
      <c r="L754" s="1"/>
      <c r="M754" s="1"/>
      <c r="N754" s="1"/>
    </row>
    <row r="755" spans="9:14" ht="15.75" customHeight="1" x14ac:dyDescent="0.15">
      <c r="I755" s="1"/>
      <c r="J755" s="1"/>
      <c r="K755" s="1"/>
      <c r="L755" s="1"/>
      <c r="M755" s="1"/>
      <c r="N755" s="1"/>
    </row>
    <row r="756" spans="9:14" ht="15.75" customHeight="1" x14ac:dyDescent="0.15">
      <c r="I756" s="1"/>
      <c r="J756" s="1"/>
      <c r="K756" s="1"/>
      <c r="L756" s="1"/>
      <c r="M756" s="1"/>
      <c r="N756" s="1"/>
    </row>
    <row r="757" spans="9:14" ht="15.75" customHeight="1" x14ac:dyDescent="0.15">
      <c r="I757" s="1"/>
      <c r="J757" s="1"/>
      <c r="K757" s="1"/>
      <c r="L757" s="1"/>
      <c r="M757" s="1"/>
      <c r="N757" s="1"/>
    </row>
    <row r="758" spans="9:14" ht="15.75" customHeight="1" x14ac:dyDescent="0.15">
      <c r="I758" s="1"/>
      <c r="J758" s="1"/>
      <c r="K758" s="1"/>
      <c r="L758" s="1"/>
      <c r="M758" s="1"/>
      <c r="N758" s="1"/>
    </row>
    <row r="759" spans="9:14" ht="15.75" customHeight="1" x14ac:dyDescent="0.15">
      <c r="I759" s="1"/>
      <c r="J759" s="1"/>
      <c r="K759" s="1"/>
      <c r="L759" s="1"/>
      <c r="M759" s="1"/>
      <c r="N759" s="1"/>
    </row>
    <row r="760" spans="9:14" ht="15.75" customHeight="1" x14ac:dyDescent="0.15">
      <c r="I760" s="1"/>
      <c r="J760" s="1"/>
      <c r="K760" s="1"/>
      <c r="L760" s="1"/>
      <c r="M760" s="1"/>
      <c r="N760" s="1"/>
    </row>
    <row r="761" spans="9:14" ht="15.75" customHeight="1" x14ac:dyDescent="0.15">
      <c r="I761" s="1"/>
      <c r="J761" s="1"/>
      <c r="K761" s="1"/>
      <c r="L761" s="1"/>
      <c r="M761" s="1"/>
      <c r="N761" s="1"/>
    </row>
    <row r="762" spans="9:14" ht="15.75" customHeight="1" x14ac:dyDescent="0.15">
      <c r="I762" s="1"/>
      <c r="J762" s="1"/>
      <c r="K762" s="1"/>
      <c r="L762" s="1"/>
      <c r="M762" s="1"/>
      <c r="N762" s="1"/>
    </row>
    <row r="763" spans="9:14" ht="15.75" customHeight="1" x14ac:dyDescent="0.15">
      <c r="I763" s="1"/>
      <c r="J763" s="1"/>
      <c r="K763" s="1"/>
      <c r="L763" s="1"/>
      <c r="M763" s="1"/>
      <c r="N763" s="1"/>
    </row>
    <row r="764" spans="9:14" ht="15.75" customHeight="1" x14ac:dyDescent="0.15">
      <c r="I764" s="1"/>
      <c r="J764" s="1"/>
      <c r="K764" s="1"/>
      <c r="L764" s="1"/>
      <c r="M764" s="1"/>
      <c r="N764" s="1"/>
    </row>
    <row r="765" spans="9:14" ht="15.75" customHeight="1" x14ac:dyDescent="0.15">
      <c r="I765" s="1"/>
      <c r="J765" s="1"/>
      <c r="K765" s="1"/>
      <c r="L765" s="1"/>
      <c r="M765" s="1"/>
      <c r="N765" s="1"/>
    </row>
    <row r="766" spans="9:14" ht="15.75" customHeight="1" x14ac:dyDescent="0.15">
      <c r="I766" s="1"/>
      <c r="J766" s="1"/>
      <c r="K766" s="1"/>
      <c r="L766" s="1"/>
      <c r="M766" s="1"/>
      <c r="N766" s="1"/>
    </row>
    <row r="767" spans="9:14" ht="15.75" customHeight="1" x14ac:dyDescent="0.15">
      <c r="I767" s="1"/>
      <c r="J767" s="1"/>
      <c r="K767" s="1"/>
      <c r="L767" s="1"/>
      <c r="M767" s="1"/>
      <c r="N767" s="1"/>
    </row>
    <row r="768" spans="9:14" ht="15.75" customHeight="1" x14ac:dyDescent="0.15">
      <c r="I768" s="1"/>
      <c r="J768" s="1"/>
      <c r="K768" s="1"/>
      <c r="L768" s="1"/>
      <c r="M768" s="1"/>
      <c r="N768" s="1"/>
    </row>
    <row r="769" spans="9:14" ht="15.75" customHeight="1" x14ac:dyDescent="0.15">
      <c r="I769" s="1"/>
      <c r="J769" s="1"/>
      <c r="K769" s="1"/>
      <c r="L769" s="1"/>
      <c r="M769" s="1"/>
      <c r="N769" s="1"/>
    </row>
    <row r="770" spans="9:14" ht="15.75" customHeight="1" x14ac:dyDescent="0.15">
      <c r="I770" s="1"/>
      <c r="J770" s="1"/>
      <c r="K770" s="1"/>
      <c r="L770" s="1"/>
      <c r="M770" s="1"/>
      <c r="N770" s="1"/>
    </row>
    <row r="771" spans="9:14" ht="15.75" customHeight="1" x14ac:dyDescent="0.15">
      <c r="I771" s="1"/>
      <c r="J771" s="1"/>
      <c r="K771" s="1"/>
      <c r="L771" s="1"/>
      <c r="M771" s="1"/>
      <c r="N771" s="1"/>
    </row>
    <row r="772" spans="9:14" ht="15.75" customHeight="1" x14ac:dyDescent="0.15">
      <c r="I772" s="1"/>
      <c r="J772" s="1"/>
      <c r="K772" s="1"/>
      <c r="L772" s="1"/>
      <c r="M772" s="1"/>
      <c r="N772" s="1"/>
    </row>
    <row r="773" spans="9:14" ht="15.75" customHeight="1" x14ac:dyDescent="0.15">
      <c r="I773" s="1"/>
      <c r="J773" s="1"/>
      <c r="K773" s="1"/>
      <c r="L773" s="1"/>
      <c r="M773" s="1"/>
      <c r="N773" s="1"/>
    </row>
    <row r="774" spans="9:14" ht="15.75" customHeight="1" x14ac:dyDescent="0.15">
      <c r="I774" s="1"/>
      <c r="J774" s="1"/>
      <c r="K774" s="1"/>
      <c r="L774" s="1"/>
      <c r="M774" s="1"/>
      <c r="N774" s="1"/>
    </row>
    <row r="775" spans="9:14" ht="15.75" customHeight="1" x14ac:dyDescent="0.15">
      <c r="I775" s="1"/>
      <c r="J775" s="1"/>
      <c r="K775" s="1"/>
      <c r="L775" s="1"/>
      <c r="M775" s="1"/>
      <c r="N775" s="1"/>
    </row>
    <row r="776" spans="9:14" ht="15.75" customHeight="1" x14ac:dyDescent="0.15">
      <c r="I776" s="1"/>
      <c r="J776" s="1"/>
      <c r="K776" s="1"/>
      <c r="L776" s="1"/>
      <c r="M776" s="1"/>
      <c r="N776" s="1"/>
    </row>
    <row r="777" spans="9:14" ht="15.75" customHeight="1" x14ac:dyDescent="0.15">
      <c r="I777" s="1"/>
      <c r="J777" s="1"/>
      <c r="K777" s="1"/>
      <c r="L777" s="1"/>
      <c r="M777" s="1"/>
      <c r="N777" s="1"/>
    </row>
    <row r="778" spans="9:14" ht="15.75" customHeight="1" x14ac:dyDescent="0.15">
      <c r="I778" s="1"/>
      <c r="J778" s="1"/>
      <c r="K778" s="1"/>
      <c r="L778" s="1"/>
      <c r="M778" s="1"/>
      <c r="N778" s="1"/>
    </row>
    <row r="779" spans="9:14" ht="15.75" customHeight="1" x14ac:dyDescent="0.15">
      <c r="I779" s="1"/>
      <c r="J779" s="1"/>
      <c r="K779" s="1"/>
      <c r="L779" s="1"/>
      <c r="M779" s="1"/>
      <c r="N779" s="1"/>
    </row>
    <row r="780" spans="9:14" ht="15.75" customHeight="1" x14ac:dyDescent="0.15">
      <c r="I780" s="1"/>
      <c r="J780" s="1"/>
      <c r="K780" s="1"/>
      <c r="L780" s="1"/>
      <c r="M780" s="1"/>
      <c r="N780" s="1"/>
    </row>
    <row r="781" spans="9:14" ht="15.75" customHeight="1" x14ac:dyDescent="0.15">
      <c r="I781" s="1"/>
      <c r="J781" s="1"/>
      <c r="K781" s="1"/>
      <c r="L781" s="1"/>
      <c r="M781" s="1"/>
      <c r="N781" s="1"/>
    </row>
    <row r="782" spans="9:14" ht="15.75" customHeight="1" x14ac:dyDescent="0.15">
      <c r="I782" s="1"/>
      <c r="J782" s="1"/>
      <c r="K782" s="1"/>
      <c r="L782" s="1"/>
      <c r="M782" s="1"/>
      <c r="N782" s="1"/>
    </row>
    <row r="783" spans="9:14" ht="15.75" customHeight="1" x14ac:dyDescent="0.15">
      <c r="I783" s="1"/>
      <c r="J783" s="1"/>
      <c r="K783" s="1"/>
      <c r="L783" s="1"/>
      <c r="M783" s="1"/>
      <c r="N783" s="1"/>
    </row>
    <row r="784" spans="9:14" ht="15.75" customHeight="1" x14ac:dyDescent="0.15">
      <c r="I784" s="1"/>
      <c r="J784" s="1"/>
      <c r="K784" s="1"/>
      <c r="L784" s="1"/>
      <c r="M784" s="1"/>
      <c r="N784" s="1"/>
    </row>
    <row r="785" spans="9:14" ht="15.75" customHeight="1" x14ac:dyDescent="0.15">
      <c r="I785" s="1"/>
      <c r="J785" s="1"/>
      <c r="K785" s="1"/>
      <c r="L785" s="1"/>
      <c r="M785" s="1"/>
      <c r="N785" s="1"/>
    </row>
    <row r="786" spans="9:14" ht="15.75" customHeight="1" x14ac:dyDescent="0.15">
      <c r="I786" s="1"/>
      <c r="J786" s="1"/>
      <c r="K786" s="1"/>
      <c r="L786" s="1"/>
      <c r="M786" s="1"/>
      <c r="N786" s="1"/>
    </row>
    <row r="787" spans="9:14" ht="15.75" customHeight="1" x14ac:dyDescent="0.15">
      <c r="I787" s="1"/>
      <c r="J787" s="1"/>
      <c r="K787" s="1"/>
      <c r="L787" s="1"/>
      <c r="M787" s="1"/>
      <c r="N787" s="1"/>
    </row>
    <row r="788" spans="9:14" ht="15.75" customHeight="1" x14ac:dyDescent="0.15">
      <c r="I788" s="1"/>
      <c r="J788" s="1"/>
      <c r="K788" s="1"/>
      <c r="L788" s="1"/>
      <c r="M788" s="1"/>
      <c r="N788" s="1"/>
    </row>
    <row r="789" spans="9:14" ht="15.75" customHeight="1" x14ac:dyDescent="0.15">
      <c r="I789" s="1"/>
      <c r="J789" s="1"/>
      <c r="K789" s="1"/>
      <c r="L789" s="1"/>
      <c r="M789" s="1"/>
      <c r="N789" s="1"/>
    </row>
    <row r="790" spans="9:14" ht="15.75" customHeight="1" x14ac:dyDescent="0.15">
      <c r="I790" s="1"/>
      <c r="J790" s="1"/>
      <c r="K790" s="1"/>
      <c r="L790" s="1"/>
      <c r="M790" s="1"/>
      <c r="N790" s="1"/>
    </row>
    <row r="791" spans="9:14" ht="15.75" customHeight="1" x14ac:dyDescent="0.15">
      <c r="I791" s="1"/>
      <c r="J791" s="1"/>
      <c r="K791" s="1"/>
      <c r="L791" s="1"/>
      <c r="M791" s="1"/>
      <c r="N791" s="1"/>
    </row>
    <row r="792" spans="9:14" ht="15.75" customHeight="1" x14ac:dyDescent="0.15">
      <c r="I792" s="1"/>
      <c r="J792" s="1"/>
      <c r="K792" s="1"/>
      <c r="L792" s="1"/>
      <c r="M792" s="1"/>
      <c r="N792" s="1"/>
    </row>
    <row r="793" spans="9:14" ht="15.75" customHeight="1" x14ac:dyDescent="0.15">
      <c r="I793" s="1"/>
      <c r="J793" s="1"/>
      <c r="K793" s="1"/>
      <c r="L793" s="1"/>
      <c r="M793" s="1"/>
      <c r="N793" s="1"/>
    </row>
    <row r="794" spans="9:14" ht="15.75" customHeight="1" x14ac:dyDescent="0.15">
      <c r="I794" s="1"/>
      <c r="J794" s="1"/>
      <c r="K794" s="1"/>
      <c r="L794" s="1"/>
      <c r="M794" s="1"/>
      <c r="N794" s="1"/>
    </row>
    <row r="795" spans="9:14" ht="15.75" customHeight="1" x14ac:dyDescent="0.15">
      <c r="I795" s="1"/>
      <c r="J795" s="1"/>
      <c r="K795" s="1"/>
      <c r="L795" s="1"/>
      <c r="M795" s="1"/>
      <c r="N795" s="1"/>
    </row>
    <row r="796" spans="9:14" ht="15.75" customHeight="1" x14ac:dyDescent="0.15">
      <c r="I796" s="1"/>
      <c r="J796" s="1"/>
      <c r="K796" s="1"/>
      <c r="L796" s="1"/>
      <c r="M796" s="1"/>
      <c r="N796" s="1"/>
    </row>
    <row r="797" spans="9:14" ht="15.75" customHeight="1" x14ac:dyDescent="0.15">
      <c r="I797" s="1"/>
      <c r="J797" s="1"/>
      <c r="K797" s="1"/>
      <c r="L797" s="1"/>
      <c r="M797" s="1"/>
      <c r="N797" s="1"/>
    </row>
    <row r="798" spans="9:14" ht="15.75" customHeight="1" x14ac:dyDescent="0.15">
      <c r="I798" s="1"/>
      <c r="J798" s="1"/>
      <c r="K798" s="1"/>
      <c r="L798" s="1"/>
      <c r="M798" s="1"/>
      <c r="N798" s="1"/>
    </row>
    <row r="799" spans="9:14" ht="15.75" customHeight="1" x14ac:dyDescent="0.15">
      <c r="I799" s="1"/>
      <c r="J799" s="1"/>
      <c r="K799" s="1"/>
      <c r="L799" s="1"/>
      <c r="M799" s="1"/>
      <c r="N799" s="1"/>
    </row>
    <row r="800" spans="9:14" ht="15.75" customHeight="1" x14ac:dyDescent="0.15">
      <c r="I800" s="1"/>
      <c r="J800" s="1"/>
      <c r="K800" s="1"/>
      <c r="L800" s="1"/>
      <c r="M800" s="1"/>
      <c r="N800" s="1"/>
    </row>
    <row r="801" spans="9:14" ht="15.75" customHeight="1" x14ac:dyDescent="0.15">
      <c r="I801" s="1"/>
      <c r="J801" s="1"/>
      <c r="K801" s="1"/>
      <c r="L801" s="1"/>
      <c r="M801" s="1"/>
      <c r="N801" s="1"/>
    </row>
    <row r="802" spans="9:14" ht="15.75" customHeight="1" x14ac:dyDescent="0.15">
      <c r="I802" s="1"/>
      <c r="J802" s="1"/>
      <c r="K802" s="1"/>
      <c r="L802" s="1"/>
      <c r="M802" s="1"/>
      <c r="N802" s="1"/>
    </row>
    <row r="803" spans="9:14" ht="15.75" customHeight="1" x14ac:dyDescent="0.15">
      <c r="I803" s="1"/>
      <c r="J803" s="1"/>
      <c r="K803" s="1"/>
      <c r="L803" s="1"/>
      <c r="M803" s="1"/>
      <c r="N803" s="1"/>
    </row>
    <row r="804" spans="9:14" ht="15.75" customHeight="1" x14ac:dyDescent="0.15">
      <c r="I804" s="1"/>
      <c r="J804" s="1"/>
      <c r="K804" s="1"/>
      <c r="L804" s="1"/>
      <c r="M804" s="1"/>
      <c r="N804" s="1"/>
    </row>
    <row r="805" spans="9:14" ht="15.75" customHeight="1" x14ac:dyDescent="0.15">
      <c r="I805" s="1"/>
      <c r="J805" s="1"/>
      <c r="K805" s="1"/>
      <c r="L805" s="1"/>
      <c r="M805" s="1"/>
      <c r="N805" s="1"/>
    </row>
    <row r="806" spans="9:14" ht="15.75" customHeight="1" x14ac:dyDescent="0.15">
      <c r="I806" s="1"/>
      <c r="J806" s="1"/>
      <c r="K806" s="1"/>
      <c r="L806" s="1"/>
      <c r="M806" s="1"/>
      <c r="N806" s="1"/>
    </row>
    <row r="807" spans="9:14" ht="15.75" customHeight="1" x14ac:dyDescent="0.15">
      <c r="I807" s="1"/>
      <c r="J807" s="1"/>
      <c r="K807" s="1"/>
      <c r="L807" s="1"/>
      <c r="M807" s="1"/>
      <c r="N807" s="1"/>
    </row>
    <row r="808" spans="9:14" ht="15.75" customHeight="1" x14ac:dyDescent="0.15">
      <c r="I808" s="1"/>
      <c r="J808" s="1"/>
      <c r="K808" s="1"/>
      <c r="L808" s="1"/>
      <c r="M808" s="1"/>
      <c r="N808" s="1"/>
    </row>
    <row r="809" spans="9:14" ht="15.75" customHeight="1" x14ac:dyDescent="0.15">
      <c r="I809" s="1"/>
      <c r="J809" s="1"/>
      <c r="K809" s="1"/>
      <c r="L809" s="1"/>
      <c r="M809" s="1"/>
      <c r="N809" s="1"/>
    </row>
    <row r="810" spans="9:14" ht="15.75" customHeight="1" x14ac:dyDescent="0.15">
      <c r="I810" s="1"/>
      <c r="J810" s="1"/>
      <c r="K810" s="1"/>
      <c r="L810" s="1"/>
      <c r="M810" s="1"/>
      <c r="N810" s="1"/>
    </row>
    <row r="811" spans="9:14" ht="15.75" customHeight="1" x14ac:dyDescent="0.15">
      <c r="I811" s="1"/>
      <c r="J811" s="1"/>
      <c r="K811" s="1"/>
      <c r="L811" s="1"/>
      <c r="M811" s="1"/>
      <c r="N811" s="1"/>
    </row>
    <row r="812" spans="9:14" ht="15.75" customHeight="1" x14ac:dyDescent="0.15">
      <c r="I812" s="1"/>
      <c r="J812" s="1"/>
      <c r="K812" s="1"/>
      <c r="L812" s="1"/>
      <c r="M812" s="1"/>
      <c r="N812" s="1"/>
    </row>
    <row r="813" spans="9:14" ht="15.75" customHeight="1" x14ac:dyDescent="0.15">
      <c r="I813" s="1"/>
      <c r="J813" s="1"/>
      <c r="K813" s="1"/>
      <c r="L813" s="1"/>
      <c r="M813" s="1"/>
      <c r="N813" s="1"/>
    </row>
    <row r="814" spans="9:14" ht="15.75" customHeight="1" x14ac:dyDescent="0.15">
      <c r="I814" s="1"/>
      <c r="J814" s="1"/>
      <c r="K814" s="1"/>
      <c r="L814" s="1"/>
      <c r="M814" s="1"/>
      <c r="N814" s="1"/>
    </row>
    <row r="815" spans="9:14" ht="15.75" customHeight="1" x14ac:dyDescent="0.15">
      <c r="I815" s="1"/>
      <c r="J815" s="1"/>
      <c r="K815" s="1"/>
      <c r="L815" s="1"/>
      <c r="M815" s="1"/>
      <c r="N815" s="1"/>
    </row>
    <row r="816" spans="9:14" ht="15.75" customHeight="1" x14ac:dyDescent="0.15">
      <c r="I816" s="1"/>
      <c r="J816" s="1"/>
      <c r="K816" s="1"/>
      <c r="L816" s="1"/>
      <c r="M816" s="1"/>
      <c r="N816" s="1"/>
    </row>
    <row r="817" spans="9:14" ht="15.75" customHeight="1" x14ac:dyDescent="0.15">
      <c r="I817" s="1"/>
      <c r="J817" s="1"/>
      <c r="K817" s="1"/>
      <c r="L817" s="1"/>
      <c r="M817" s="1"/>
      <c r="N817" s="1"/>
    </row>
    <row r="818" spans="9:14" ht="15.75" customHeight="1" x14ac:dyDescent="0.15">
      <c r="I818" s="1"/>
      <c r="J818" s="1"/>
      <c r="K818" s="1"/>
      <c r="L818" s="1"/>
      <c r="M818" s="1"/>
      <c r="N818" s="1"/>
    </row>
    <row r="819" spans="9:14" ht="15.75" customHeight="1" x14ac:dyDescent="0.15">
      <c r="I819" s="1"/>
      <c r="J819" s="1"/>
      <c r="K819" s="1"/>
      <c r="L819" s="1"/>
      <c r="M819" s="1"/>
      <c r="N819" s="1"/>
    </row>
    <row r="820" spans="9:14" ht="15.75" customHeight="1" x14ac:dyDescent="0.15">
      <c r="I820" s="1"/>
      <c r="J820" s="1"/>
      <c r="K820" s="1"/>
      <c r="L820" s="1"/>
      <c r="M820" s="1"/>
      <c r="N820" s="1"/>
    </row>
    <row r="821" spans="9:14" ht="15.75" customHeight="1" x14ac:dyDescent="0.15">
      <c r="I821" s="1"/>
      <c r="J821" s="1"/>
      <c r="K821" s="1"/>
      <c r="L821" s="1"/>
      <c r="M821" s="1"/>
      <c r="N821" s="1"/>
    </row>
    <row r="822" spans="9:14" ht="15.75" customHeight="1" x14ac:dyDescent="0.15">
      <c r="I822" s="1"/>
      <c r="J822" s="1"/>
      <c r="K822" s="1"/>
      <c r="L822" s="1"/>
      <c r="M822" s="1"/>
      <c r="N822" s="1"/>
    </row>
    <row r="823" spans="9:14" ht="15.75" customHeight="1" x14ac:dyDescent="0.15">
      <c r="I823" s="1"/>
      <c r="J823" s="1"/>
      <c r="K823" s="1"/>
      <c r="L823" s="1"/>
      <c r="M823" s="1"/>
      <c r="N823" s="1"/>
    </row>
    <row r="824" spans="9:14" ht="15.75" customHeight="1" x14ac:dyDescent="0.15">
      <c r="I824" s="1"/>
      <c r="J824" s="1"/>
      <c r="K824" s="1"/>
      <c r="L824" s="1"/>
      <c r="M824" s="1"/>
      <c r="N824" s="1"/>
    </row>
    <row r="825" spans="9:14" ht="15.75" customHeight="1" x14ac:dyDescent="0.15">
      <c r="I825" s="1"/>
      <c r="J825" s="1"/>
      <c r="K825" s="1"/>
      <c r="L825" s="1"/>
      <c r="M825" s="1"/>
      <c r="N825" s="1"/>
    </row>
    <row r="826" spans="9:14" ht="15.75" customHeight="1" x14ac:dyDescent="0.15">
      <c r="I826" s="1"/>
      <c r="J826" s="1"/>
      <c r="K826" s="1"/>
      <c r="L826" s="1"/>
      <c r="M826" s="1"/>
      <c r="N826" s="1"/>
    </row>
    <row r="827" spans="9:14" ht="15.75" customHeight="1" x14ac:dyDescent="0.15">
      <c r="I827" s="1"/>
      <c r="J827" s="1"/>
      <c r="K827" s="1"/>
      <c r="L827" s="1"/>
      <c r="M827" s="1"/>
      <c r="N827" s="1"/>
    </row>
    <row r="828" spans="9:14" ht="15.75" customHeight="1" x14ac:dyDescent="0.15">
      <c r="I828" s="1"/>
      <c r="J828" s="1"/>
      <c r="K828" s="1"/>
      <c r="L828" s="1"/>
      <c r="M828" s="1"/>
      <c r="N828" s="1"/>
    </row>
    <row r="829" spans="9:14" ht="15.75" customHeight="1" x14ac:dyDescent="0.15">
      <c r="I829" s="1"/>
      <c r="J829" s="1"/>
      <c r="K829" s="1"/>
      <c r="L829" s="1"/>
      <c r="M829" s="1"/>
      <c r="N829" s="1"/>
    </row>
    <row r="830" spans="9:14" ht="15.75" customHeight="1" x14ac:dyDescent="0.15">
      <c r="I830" s="1"/>
      <c r="J830" s="1"/>
      <c r="K830" s="1"/>
      <c r="L830" s="1"/>
      <c r="M830" s="1"/>
      <c r="N830" s="1"/>
    </row>
    <row r="831" spans="9:14" ht="15.75" customHeight="1" x14ac:dyDescent="0.15">
      <c r="I831" s="1"/>
      <c r="J831" s="1"/>
      <c r="K831" s="1"/>
      <c r="L831" s="1"/>
      <c r="M831" s="1"/>
      <c r="N831" s="1"/>
    </row>
    <row r="832" spans="9:14" ht="15.75" customHeight="1" x14ac:dyDescent="0.15">
      <c r="I832" s="1"/>
      <c r="J832" s="1"/>
      <c r="K832" s="1"/>
      <c r="L832" s="1"/>
      <c r="M832" s="1"/>
      <c r="N832" s="1"/>
    </row>
    <row r="833" spans="9:14" ht="15.75" customHeight="1" x14ac:dyDescent="0.15">
      <c r="I833" s="1"/>
      <c r="J833" s="1"/>
      <c r="K833" s="1"/>
      <c r="L833" s="1"/>
      <c r="M833" s="1"/>
      <c r="N833" s="1"/>
    </row>
    <row r="834" spans="9:14" ht="15.75" customHeight="1" x14ac:dyDescent="0.15">
      <c r="I834" s="1"/>
      <c r="J834" s="1"/>
      <c r="K834" s="1"/>
      <c r="L834" s="1"/>
      <c r="M834" s="1"/>
      <c r="N834" s="1"/>
    </row>
    <row r="835" spans="9:14" ht="15.75" customHeight="1" x14ac:dyDescent="0.15">
      <c r="I835" s="1"/>
      <c r="J835" s="1"/>
      <c r="K835" s="1"/>
      <c r="L835" s="1"/>
      <c r="M835" s="1"/>
      <c r="N835" s="1"/>
    </row>
    <row r="836" spans="9:14" ht="15.75" customHeight="1" x14ac:dyDescent="0.15">
      <c r="I836" s="1"/>
      <c r="J836" s="1"/>
      <c r="K836" s="1"/>
      <c r="L836" s="1"/>
      <c r="M836" s="1"/>
      <c r="N836" s="1"/>
    </row>
    <row r="837" spans="9:14" ht="15.75" customHeight="1" x14ac:dyDescent="0.15">
      <c r="I837" s="1"/>
      <c r="J837" s="1"/>
      <c r="K837" s="1"/>
      <c r="L837" s="1"/>
      <c r="M837" s="1"/>
      <c r="N837" s="1"/>
    </row>
    <row r="838" spans="9:14" ht="15.75" customHeight="1" x14ac:dyDescent="0.15">
      <c r="I838" s="1"/>
      <c r="J838" s="1"/>
      <c r="K838" s="1"/>
      <c r="L838" s="1"/>
      <c r="M838" s="1"/>
      <c r="N838" s="1"/>
    </row>
    <row r="839" spans="9:14" ht="15.75" customHeight="1" x14ac:dyDescent="0.15">
      <c r="I839" s="1"/>
      <c r="J839" s="1"/>
      <c r="K839" s="1"/>
      <c r="L839" s="1"/>
      <c r="M839" s="1"/>
      <c r="N839" s="1"/>
    </row>
    <row r="840" spans="9:14" ht="15.75" customHeight="1" x14ac:dyDescent="0.15">
      <c r="I840" s="1"/>
      <c r="J840" s="1"/>
      <c r="K840" s="1"/>
      <c r="L840" s="1"/>
      <c r="M840" s="1"/>
      <c r="N840" s="1"/>
    </row>
    <row r="841" spans="9:14" ht="15.75" customHeight="1" x14ac:dyDescent="0.15">
      <c r="I841" s="1"/>
      <c r="J841" s="1"/>
      <c r="K841" s="1"/>
      <c r="L841" s="1"/>
      <c r="M841" s="1"/>
      <c r="N841" s="1"/>
    </row>
    <row r="842" spans="9:14" ht="15.75" customHeight="1" x14ac:dyDescent="0.15">
      <c r="I842" s="1"/>
      <c r="J842" s="1"/>
      <c r="K842" s="1"/>
      <c r="L842" s="1"/>
      <c r="M842" s="1"/>
      <c r="N842" s="1"/>
    </row>
    <row r="843" spans="9:14" ht="15.75" customHeight="1" x14ac:dyDescent="0.15">
      <c r="I843" s="1"/>
      <c r="J843" s="1"/>
      <c r="K843" s="1"/>
      <c r="L843" s="1"/>
      <c r="M843" s="1"/>
      <c r="N843" s="1"/>
    </row>
    <row r="844" spans="9:14" ht="15.75" customHeight="1" x14ac:dyDescent="0.15">
      <c r="I844" s="1"/>
      <c r="J844" s="1"/>
      <c r="K844" s="1"/>
      <c r="L844" s="1"/>
      <c r="M844" s="1"/>
      <c r="N844" s="1"/>
    </row>
    <row r="845" spans="9:14" ht="15.75" customHeight="1" x14ac:dyDescent="0.15">
      <c r="I845" s="1"/>
      <c r="J845" s="1"/>
      <c r="K845" s="1"/>
      <c r="L845" s="1"/>
      <c r="M845" s="1"/>
      <c r="N845" s="1"/>
    </row>
    <row r="846" spans="9:14" ht="15.75" customHeight="1" x14ac:dyDescent="0.15">
      <c r="I846" s="1"/>
      <c r="J846" s="1"/>
      <c r="K846" s="1"/>
      <c r="L846" s="1"/>
      <c r="M846" s="1"/>
      <c r="N846" s="1"/>
    </row>
    <row r="847" spans="9:14" ht="15.75" customHeight="1" x14ac:dyDescent="0.15">
      <c r="I847" s="1"/>
      <c r="J847" s="1"/>
      <c r="K847" s="1"/>
      <c r="L847" s="1"/>
      <c r="M847" s="1"/>
      <c r="N847" s="1"/>
    </row>
    <row r="848" spans="9:14" ht="15.75" customHeight="1" x14ac:dyDescent="0.15">
      <c r="I848" s="1"/>
      <c r="J848" s="1"/>
      <c r="K848" s="1"/>
      <c r="L848" s="1"/>
      <c r="M848" s="1"/>
      <c r="N848" s="1"/>
    </row>
    <row r="849" spans="9:14" ht="15.75" customHeight="1" x14ac:dyDescent="0.15">
      <c r="I849" s="1"/>
      <c r="J849" s="1"/>
      <c r="K849" s="1"/>
      <c r="L849" s="1"/>
      <c r="M849" s="1"/>
      <c r="N849" s="1"/>
    </row>
    <row r="850" spans="9:14" ht="15.75" customHeight="1" x14ac:dyDescent="0.15">
      <c r="I850" s="1"/>
      <c r="J850" s="1"/>
      <c r="K850" s="1"/>
      <c r="L850" s="1"/>
      <c r="M850" s="1"/>
      <c r="N850" s="1"/>
    </row>
    <row r="851" spans="9:14" ht="15.75" customHeight="1" x14ac:dyDescent="0.15">
      <c r="I851" s="1"/>
      <c r="J851" s="1"/>
      <c r="K851" s="1"/>
      <c r="L851" s="1"/>
      <c r="M851" s="1"/>
      <c r="N851" s="1"/>
    </row>
    <row r="852" spans="9:14" ht="15.75" customHeight="1" x14ac:dyDescent="0.15">
      <c r="I852" s="1"/>
      <c r="J852" s="1"/>
      <c r="K852" s="1"/>
      <c r="L852" s="1"/>
      <c r="M852" s="1"/>
      <c r="N852" s="1"/>
    </row>
    <row r="853" spans="9:14" ht="15.75" customHeight="1" x14ac:dyDescent="0.15">
      <c r="I853" s="1"/>
      <c r="J853" s="1"/>
      <c r="K853" s="1"/>
      <c r="L853" s="1"/>
      <c r="M853" s="1"/>
      <c r="N853" s="1"/>
    </row>
    <row r="854" spans="9:14" ht="15.75" customHeight="1" x14ac:dyDescent="0.15">
      <c r="I854" s="1"/>
      <c r="J854" s="1"/>
      <c r="K854" s="1"/>
      <c r="L854" s="1"/>
      <c r="M854" s="1"/>
      <c r="N854" s="1"/>
    </row>
    <row r="855" spans="9:14" ht="15.75" customHeight="1" x14ac:dyDescent="0.15">
      <c r="I855" s="1"/>
      <c r="J855" s="1"/>
      <c r="K855" s="1"/>
      <c r="L855" s="1"/>
      <c r="M855" s="1"/>
      <c r="N855" s="1"/>
    </row>
    <row r="856" spans="9:14" ht="15.75" customHeight="1" x14ac:dyDescent="0.15">
      <c r="I856" s="1"/>
      <c r="J856" s="1"/>
      <c r="K856" s="1"/>
      <c r="L856" s="1"/>
      <c r="M856" s="1"/>
      <c r="N856" s="1"/>
    </row>
    <row r="857" spans="9:14" ht="15.75" customHeight="1" x14ac:dyDescent="0.15">
      <c r="I857" s="1"/>
      <c r="J857" s="1"/>
      <c r="K857" s="1"/>
      <c r="L857" s="1"/>
      <c r="M857" s="1"/>
      <c r="N857" s="1"/>
    </row>
    <row r="858" spans="9:14" ht="15.75" customHeight="1" x14ac:dyDescent="0.15">
      <c r="I858" s="1"/>
      <c r="J858" s="1"/>
      <c r="K858" s="1"/>
      <c r="L858" s="1"/>
      <c r="M858" s="1"/>
      <c r="N858" s="1"/>
    </row>
    <row r="859" spans="9:14" ht="15.75" customHeight="1" x14ac:dyDescent="0.15">
      <c r="I859" s="1"/>
      <c r="J859" s="1"/>
      <c r="K859" s="1"/>
      <c r="L859" s="1"/>
      <c r="M859" s="1"/>
      <c r="N859" s="1"/>
    </row>
    <row r="860" spans="9:14" ht="15.75" customHeight="1" x14ac:dyDescent="0.15">
      <c r="I860" s="1"/>
      <c r="J860" s="1"/>
      <c r="K860" s="1"/>
      <c r="L860" s="1"/>
      <c r="M860" s="1"/>
      <c r="N860" s="1"/>
    </row>
    <row r="861" spans="9:14" ht="15.75" customHeight="1" x14ac:dyDescent="0.15">
      <c r="I861" s="1"/>
      <c r="J861" s="1"/>
      <c r="K861" s="1"/>
      <c r="L861" s="1"/>
      <c r="M861" s="1"/>
      <c r="N861" s="1"/>
    </row>
    <row r="862" spans="9:14" ht="15.75" customHeight="1" x14ac:dyDescent="0.15">
      <c r="I862" s="1"/>
      <c r="J862" s="1"/>
      <c r="K862" s="1"/>
      <c r="L862" s="1"/>
      <c r="M862" s="1"/>
      <c r="N862" s="1"/>
    </row>
    <row r="863" spans="9:14" ht="15.75" customHeight="1" x14ac:dyDescent="0.15">
      <c r="I863" s="1"/>
      <c r="J863" s="1"/>
      <c r="K863" s="1"/>
      <c r="L863" s="1"/>
      <c r="M863" s="1"/>
      <c r="N863" s="1"/>
    </row>
    <row r="864" spans="9:14" ht="15.75" customHeight="1" x14ac:dyDescent="0.15">
      <c r="I864" s="1"/>
      <c r="J864" s="1"/>
      <c r="K864" s="1"/>
      <c r="L864" s="1"/>
      <c r="M864" s="1"/>
      <c r="N864" s="1"/>
    </row>
    <row r="865" spans="9:14" ht="15.75" customHeight="1" x14ac:dyDescent="0.15">
      <c r="I865" s="1"/>
      <c r="J865" s="1"/>
      <c r="K865" s="1"/>
      <c r="L865" s="1"/>
      <c r="M865" s="1"/>
      <c r="N865" s="1"/>
    </row>
    <row r="866" spans="9:14" ht="15.75" customHeight="1" x14ac:dyDescent="0.15">
      <c r="I866" s="1"/>
      <c r="J866" s="1"/>
      <c r="K866" s="1"/>
      <c r="L866" s="1"/>
      <c r="M866" s="1"/>
      <c r="N866" s="1"/>
    </row>
    <row r="867" spans="9:14" ht="15.75" customHeight="1" x14ac:dyDescent="0.15">
      <c r="I867" s="1"/>
      <c r="J867" s="1"/>
      <c r="K867" s="1"/>
      <c r="L867" s="1"/>
      <c r="M867" s="1"/>
      <c r="N867" s="1"/>
    </row>
    <row r="868" spans="9:14" ht="15.75" customHeight="1" x14ac:dyDescent="0.15">
      <c r="I868" s="1"/>
      <c r="J868" s="1"/>
      <c r="K868" s="1"/>
      <c r="L868" s="1"/>
      <c r="M868" s="1"/>
      <c r="N868" s="1"/>
    </row>
    <row r="869" spans="9:14" ht="15.75" customHeight="1" x14ac:dyDescent="0.15">
      <c r="I869" s="1"/>
      <c r="J869" s="1"/>
      <c r="K869" s="1"/>
      <c r="L869" s="1"/>
      <c r="M869" s="1"/>
      <c r="N869" s="1"/>
    </row>
    <row r="870" spans="9:14" ht="15.75" customHeight="1" x14ac:dyDescent="0.15">
      <c r="I870" s="1"/>
      <c r="J870" s="1"/>
      <c r="K870" s="1"/>
      <c r="L870" s="1"/>
      <c r="M870" s="1"/>
      <c r="N870" s="1"/>
    </row>
    <row r="871" spans="9:14" ht="15.75" customHeight="1" x14ac:dyDescent="0.15">
      <c r="I871" s="1"/>
      <c r="J871" s="1"/>
      <c r="K871" s="1"/>
      <c r="L871" s="1"/>
      <c r="M871" s="1"/>
      <c r="N871" s="1"/>
    </row>
    <row r="872" spans="9:14" ht="15.75" customHeight="1" x14ac:dyDescent="0.15">
      <c r="I872" s="1"/>
      <c r="J872" s="1"/>
      <c r="K872" s="1"/>
      <c r="L872" s="1"/>
      <c r="M872" s="1"/>
      <c r="N872" s="1"/>
    </row>
    <row r="873" spans="9:14" ht="15.75" customHeight="1" x14ac:dyDescent="0.15">
      <c r="I873" s="1"/>
      <c r="J873" s="1"/>
      <c r="K873" s="1"/>
      <c r="L873" s="1"/>
      <c r="M873" s="1"/>
      <c r="N873" s="1"/>
    </row>
    <row r="874" spans="9:14" ht="15.75" customHeight="1" x14ac:dyDescent="0.15">
      <c r="I874" s="1"/>
      <c r="J874" s="1"/>
      <c r="K874" s="1"/>
      <c r="L874" s="1"/>
      <c r="M874" s="1"/>
      <c r="N874" s="1"/>
    </row>
    <row r="875" spans="9:14" ht="15.75" customHeight="1" x14ac:dyDescent="0.15">
      <c r="I875" s="1"/>
      <c r="J875" s="1"/>
      <c r="K875" s="1"/>
      <c r="L875" s="1"/>
      <c r="M875" s="1"/>
      <c r="N875" s="1"/>
    </row>
    <row r="876" spans="9:14" ht="15.75" customHeight="1" x14ac:dyDescent="0.15">
      <c r="I876" s="1"/>
      <c r="J876" s="1"/>
      <c r="K876" s="1"/>
      <c r="L876" s="1"/>
      <c r="M876" s="1"/>
      <c r="N876" s="1"/>
    </row>
    <row r="877" spans="9:14" ht="15.75" customHeight="1" x14ac:dyDescent="0.15">
      <c r="I877" s="1"/>
      <c r="J877" s="1"/>
      <c r="K877" s="1"/>
      <c r="L877" s="1"/>
      <c r="M877" s="1"/>
      <c r="N877" s="1"/>
    </row>
    <row r="878" spans="9:14" ht="15.75" customHeight="1" x14ac:dyDescent="0.15">
      <c r="I878" s="1"/>
      <c r="J878" s="1"/>
      <c r="K878" s="1"/>
      <c r="L878" s="1"/>
      <c r="M878" s="1"/>
      <c r="N878" s="1"/>
    </row>
    <row r="879" spans="9:14" ht="15.75" customHeight="1" x14ac:dyDescent="0.15">
      <c r="I879" s="1"/>
      <c r="J879" s="1"/>
      <c r="K879" s="1"/>
      <c r="L879" s="1"/>
      <c r="M879" s="1"/>
      <c r="N879" s="1"/>
    </row>
    <row r="880" spans="9:14" ht="15.75" customHeight="1" x14ac:dyDescent="0.15">
      <c r="I880" s="1"/>
      <c r="J880" s="1"/>
      <c r="K880" s="1"/>
      <c r="L880" s="1"/>
      <c r="M880" s="1"/>
      <c r="N880" s="1"/>
    </row>
    <row r="881" spans="9:14" ht="15.75" customHeight="1" x14ac:dyDescent="0.15">
      <c r="I881" s="1"/>
      <c r="J881" s="1"/>
      <c r="K881" s="1"/>
      <c r="L881" s="1"/>
      <c r="M881" s="1"/>
      <c r="N881" s="1"/>
    </row>
    <row r="882" spans="9:14" ht="15.75" customHeight="1" x14ac:dyDescent="0.15">
      <c r="I882" s="1"/>
      <c r="J882" s="1"/>
      <c r="K882" s="1"/>
      <c r="L882" s="1"/>
      <c r="M882" s="1"/>
      <c r="N882" s="1"/>
    </row>
    <row r="883" spans="9:14" ht="15.75" customHeight="1" x14ac:dyDescent="0.15">
      <c r="I883" s="1"/>
      <c r="J883" s="1"/>
      <c r="K883" s="1"/>
      <c r="L883" s="1"/>
      <c r="M883" s="1"/>
      <c r="N883" s="1"/>
    </row>
    <row r="884" spans="9:14" ht="15.75" customHeight="1" x14ac:dyDescent="0.15">
      <c r="I884" s="1"/>
      <c r="J884" s="1"/>
      <c r="K884" s="1"/>
      <c r="L884" s="1"/>
      <c r="M884" s="1"/>
      <c r="N884" s="1"/>
    </row>
    <row r="885" spans="9:14" ht="15.75" customHeight="1" x14ac:dyDescent="0.15">
      <c r="I885" s="1"/>
      <c r="J885" s="1"/>
      <c r="K885" s="1"/>
      <c r="L885" s="1"/>
      <c r="M885" s="1"/>
      <c r="N885" s="1"/>
    </row>
    <row r="886" spans="9:14" ht="15.75" customHeight="1" x14ac:dyDescent="0.15">
      <c r="I886" s="1"/>
      <c r="J886" s="1"/>
      <c r="K886" s="1"/>
      <c r="L886" s="1"/>
      <c r="M886" s="1"/>
      <c r="N886" s="1"/>
    </row>
    <row r="887" spans="9:14" ht="15.75" customHeight="1" x14ac:dyDescent="0.15">
      <c r="I887" s="1"/>
      <c r="J887" s="1"/>
      <c r="K887" s="1"/>
      <c r="L887" s="1"/>
      <c r="M887" s="1"/>
      <c r="N887" s="1"/>
    </row>
    <row r="888" spans="9:14" ht="15.75" customHeight="1" x14ac:dyDescent="0.15">
      <c r="I888" s="1"/>
      <c r="J888" s="1"/>
      <c r="K888" s="1"/>
      <c r="L888" s="1"/>
      <c r="M888" s="1"/>
      <c r="N888" s="1"/>
    </row>
    <row r="889" spans="9:14" ht="15.75" customHeight="1" x14ac:dyDescent="0.15">
      <c r="I889" s="1"/>
      <c r="J889" s="1"/>
      <c r="K889" s="1"/>
      <c r="L889" s="1"/>
      <c r="M889" s="1"/>
      <c r="N889" s="1"/>
    </row>
    <row r="890" spans="9:14" ht="15.75" customHeight="1" x14ac:dyDescent="0.15">
      <c r="I890" s="1"/>
      <c r="J890" s="1"/>
      <c r="K890" s="1"/>
      <c r="L890" s="1"/>
      <c r="M890" s="1"/>
      <c r="N890" s="1"/>
    </row>
    <row r="891" spans="9:14" ht="15.75" customHeight="1" x14ac:dyDescent="0.15">
      <c r="I891" s="1"/>
      <c r="J891" s="1"/>
      <c r="K891" s="1"/>
      <c r="L891" s="1"/>
      <c r="M891" s="1"/>
      <c r="N891" s="1"/>
    </row>
    <row r="892" spans="9:14" ht="15.75" customHeight="1" x14ac:dyDescent="0.15">
      <c r="I892" s="1"/>
      <c r="J892" s="1"/>
      <c r="K892" s="1"/>
      <c r="L892" s="1"/>
      <c r="M892" s="1"/>
      <c r="N892" s="1"/>
    </row>
    <row r="893" spans="9:14" ht="15.75" customHeight="1" x14ac:dyDescent="0.15">
      <c r="I893" s="1"/>
      <c r="J893" s="1"/>
      <c r="K893" s="1"/>
      <c r="L893" s="1"/>
      <c r="M893" s="1"/>
      <c r="N893" s="1"/>
    </row>
    <row r="894" spans="9:14" ht="15.75" customHeight="1" x14ac:dyDescent="0.15">
      <c r="I894" s="1"/>
      <c r="J894" s="1"/>
      <c r="K894" s="1"/>
      <c r="L894" s="1"/>
      <c r="M894" s="1"/>
      <c r="N894" s="1"/>
    </row>
    <row r="895" spans="9:14" ht="15.75" customHeight="1" x14ac:dyDescent="0.15">
      <c r="I895" s="1"/>
      <c r="J895" s="1"/>
      <c r="K895" s="1"/>
      <c r="L895" s="1"/>
      <c r="M895" s="1"/>
      <c r="N895" s="1"/>
    </row>
    <row r="896" spans="9:14" ht="15.75" customHeight="1" x14ac:dyDescent="0.15">
      <c r="I896" s="1"/>
      <c r="J896" s="1"/>
      <c r="K896" s="1"/>
      <c r="L896" s="1"/>
      <c r="M896" s="1"/>
      <c r="N896" s="1"/>
    </row>
    <row r="897" spans="9:14" ht="15.75" customHeight="1" x14ac:dyDescent="0.15">
      <c r="I897" s="1"/>
      <c r="J897" s="1"/>
      <c r="K897" s="1"/>
      <c r="L897" s="1"/>
      <c r="M897" s="1"/>
      <c r="N897" s="1"/>
    </row>
    <row r="898" spans="9:14" ht="15.75" customHeight="1" x14ac:dyDescent="0.15">
      <c r="I898" s="1"/>
      <c r="J898" s="1"/>
      <c r="K898" s="1"/>
      <c r="L898" s="1"/>
      <c r="M898" s="1"/>
      <c r="N898" s="1"/>
    </row>
    <row r="899" spans="9:14" ht="15.75" customHeight="1" x14ac:dyDescent="0.15">
      <c r="I899" s="1"/>
      <c r="J899" s="1"/>
      <c r="K899" s="1"/>
      <c r="L899" s="1"/>
      <c r="M899" s="1"/>
      <c r="N899" s="1"/>
    </row>
    <row r="900" spans="9:14" ht="15.75" customHeight="1" x14ac:dyDescent="0.15">
      <c r="I900" s="1"/>
      <c r="J900" s="1"/>
      <c r="K900" s="1"/>
      <c r="L900" s="1"/>
      <c r="M900" s="1"/>
      <c r="N900" s="1"/>
    </row>
    <row r="901" spans="9:14" ht="15.75" customHeight="1" x14ac:dyDescent="0.15">
      <c r="I901" s="1"/>
      <c r="J901" s="1"/>
      <c r="K901" s="1"/>
      <c r="L901" s="1"/>
      <c r="M901" s="1"/>
      <c r="N901" s="1"/>
    </row>
    <row r="902" spans="9:14" ht="15.75" customHeight="1" x14ac:dyDescent="0.15">
      <c r="I902" s="1"/>
      <c r="J902" s="1"/>
      <c r="K902" s="1"/>
      <c r="L902" s="1"/>
      <c r="M902" s="1"/>
      <c r="N902" s="1"/>
    </row>
    <row r="903" spans="9:14" ht="15.75" customHeight="1" x14ac:dyDescent="0.15">
      <c r="I903" s="1"/>
      <c r="J903" s="1"/>
      <c r="K903" s="1"/>
      <c r="L903" s="1"/>
      <c r="M903" s="1"/>
      <c r="N903" s="1"/>
    </row>
    <row r="904" spans="9:14" ht="15.75" customHeight="1" x14ac:dyDescent="0.15">
      <c r="I904" s="1"/>
      <c r="J904" s="1"/>
      <c r="K904" s="1"/>
      <c r="L904" s="1"/>
      <c r="M904" s="1"/>
      <c r="N904" s="1"/>
    </row>
    <row r="905" spans="9:14" ht="15.75" customHeight="1" x14ac:dyDescent="0.15">
      <c r="I905" s="1"/>
      <c r="J905" s="1"/>
      <c r="K905" s="1"/>
      <c r="L905" s="1"/>
      <c r="M905" s="1"/>
      <c r="N905" s="1"/>
    </row>
    <row r="906" spans="9:14" ht="15.75" customHeight="1" x14ac:dyDescent="0.15">
      <c r="I906" s="1"/>
      <c r="J906" s="1"/>
      <c r="K906" s="1"/>
      <c r="L906" s="1"/>
      <c r="M906" s="1"/>
      <c r="N906" s="1"/>
    </row>
    <row r="907" spans="9:14" ht="15.75" customHeight="1" x14ac:dyDescent="0.15">
      <c r="I907" s="1"/>
      <c r="J907" s="1"/>
      <c r="K907" s="1"/>
      <c r="L907" s="1"/>
      <c r="M907" s="1"/>
      <c r="N907" s="1"/>
    </row>
    <row r="908" spans="9:14" ht="15.75" customHeight="1" x14ac:dyDescent="0.15">
      <c r="I908" s="1"/>
      <c r="J908" s="1"/>
      <c r="K908" s="1"/>
      <c r="L908" s="1"/>
      <c r="M908" s="1"/>
      <c r="N908" s="1"/>
    </row>
    <row r="909" spans="9:14" ht="15.75" customHeight="1" x14ac:dyDescent="0.15">
      <c r="I909" s="1"/>
      <c r="J909" s="1"/>
      <c r="K909" s="1"/>
      <c r="L909" s="1"/>
      <c r="M909" s="1"/>
      <c r="N909" s="1"/>
    </row>
    <row r="910" spans="9:14" ht="15.75" customHeight="1" x14ac:dyDescent="0.15">
      <c r="I910" s="1"/>
      <c r="J910" s="1"/>
      <c r="K910" s="1"/>
      <c r="L910" s="1"/>
      <c r="M910" s="1"/>
      <c r="N910" s="1"/>
    </row>
    <row r="911" spans="9:14" ht="15.75" customHeight="1" x14ac:dyDescent="0.15">
      <c r="I911" s="1"/>
      <c r="J911" s="1"/>
      <c r="K911" s="1"/>
      <c r="L911" s="1"/>
      <c r="M911" s="1"/>
      <c r="N911" s="1"/>
    </row>
    <row r="912" spans="9:14" ht="15.75" customHeight="1" x14ac:dyDescent="0.15">
      <c r="I912" s="1"/>
      <c r="J912" s="1"/>
      <c r="K912" s="1"/>
      <c r="L912" s="1"/>
      <c r="M912" s="1"/>
      <c r="N912" s="1"/>
    </row>
    <row r="913" spans="9:14" ht="15.75" customHeight="1" x14ac:dyDescent="0.15">
      <c r="I913" s="1"/>
      <c r="J913" s="1"/>
      <c r="K913" s="1"/>
      <c r="L913" s="1"/>
      <c r="M913" s="1"/>
      <c r="N913" s="1"/>
    </row>
    <row r="914" spans="9:14" ht="15.75" customHeight="1" x14ac:dyDescent="0.15">
      <c r="I914" s="1"/>
      <c r="J914" s="1"/>
      <c r="K914" s="1"/>
      <c r="L914" s="1"/>
      <c r="M914" s="1"/>
      <c r="N914" s="1"/>
    </row>
    <row r="915" spans="9:14" ht="15.75" customHeight="1" x14ac:dyDescent="0.15">
      <c r="I915" s="1"/>
      <c r="J915" s="1"/>
      <c r="K915" s="1"/>
      <c r="L915" s="1"/>
      <c r="M915" s="1"/>
      <c r="N915" s="1"/>
    </row>
    <row r="916" spans="9:14" ht="15.75" customHeight="1" x14ac:dyDescent="0.15">
      <c r="I916" s="1"/>
      <c r="J916" s="1"/>
      <c r="K916" s="1"/>
      <c r="L916" s="1"/>
      <c r="M916" s="1"/>
      <c r="N916" s="1"/>
    </row>
    <row r="917" spans="9:14" ht="15.75" customHeight="1" x14ac:dyDescent="0.15">
      <c r="I917" s="1"/>
      <c r="J917" s="1"/>
      <c r="K917" s="1"/>
      <c r="L917" s="1"/>
      <c r="M917" s="1"/>
      <c r="N917" s="1"/>
    </row>
    <row r="918" spans="9:14" ht="15.75" customHeight="1" x14ac:dyDescent="0.15">
      <c r="I918" s="1"/>
      <c r="J918" s="1"/>
      <c r="K918" s="1"/>
      <c r="L918" s="1"/>
      <c r="M918" s="1"/>
      <c r="N918" s="1"/>
    </row>
    <row r="919" spans="9:14" ht="15.75" customHeight="1" x14ac:dyDescent="0.15">
      <c r="I919" s="1"/>
      <c r="J919" s="1"/>
      <c r="K919" s="1"/>
      <c r="L919" s="1"/>
      <c r="M919" s="1"/>
      <c r="N919" s="1"/>
    </row>
    <row r="920" spans="9:14" ht="15.75" customHeight="1" x14ac:dyDescent="0.15">
      <c r="I920" s="1"/>
      <c r="J920" s="1"/>
      <c r="K920" s="1"/>
      <c r="L920" s="1"/>
      <c r="M920" s="1"/>
      <c r="N920" s="1"/>
    </row>
    <row r="921" spans="9:14" ht="15.75" customHeight="1" x14ac:dyDescent="0.15">
      <c r="I921" s="1"/>
      <c r="J921" s="1"/>
      <c r="K921" s="1"/>
      <c r="L921" s="1"/>
      <c r="M921" s="1"/>
      <c r="N921" s="1"/>
    </row>
    <row r="922" spans="9:14" ht="15.75" customHeight="1" x14ac:dyDescent="0.15">
      <c r="I922" s="1"/>
      <c r="J922" s="1"/>
      <c r="K922" s="1"/>
      <c r="L922" s="1"/>
      <c r="M922" s="1"/>
      <c r="N922" s="1"/>
    </row>
    <row r="923" spans="9:14" ht="15.75" customHeight="1" x14ac:dyDescent="0.15">
      <c r="I923" s="1"/>
      <c r="J923" s="1"/>
      <c r="K923" s="1"/>
      <c r="L923" s="1"/>
      <c r="M923" s="1"/>
      <c r="N923" s="1"/>
    </row>
    <row r="924" spans="9:14" ht="15.75" customHeight="1" x14ac:dyDescent="0.15">
      <c r="I924" s="1"/>
      <c r="J924" s="1"/>
      <c r="K924" s="1"/>
      <c r="L924" s="1"/>
      <c r="M924" s="1"/>
      <c r="N924" s="1"/>
    </row>
    <row r="925" spans="9:14" ht="15.75" customHeight="1" x14ac:dyDescent="0.15">
      <c r="I925" s="1"/>
      <c r="J925" s="1"/>
      <c r="K925" s="1"/>
      <c r="L925" s="1"/>
      <c r="M925" s="1"/>
      <c r="N925" s="1"/>
    </row>
    <row r="926" spans="9:14" ht="15.75" customHeight="1" x14ac:dyDescent="0.15">
      <c r="I926" s="1"/>
      <c r="J926" s="1"/>
      <c r="K926" s="1"/>
      <c r="L926" s="1"/>
      <c r="M926" s="1"/>
      <c r="N926" s="1"/>
    </row>
    <row r="927" spans="9:14" ht="15.75" customHeight="1" x14ac:dyDescent="0.15">
      <c r="I927" s="1"/>
      <c r="J927" s="1"/>
      <c r="K927" s="1"/>
      <c r="L927" s="1"/>
      <c r="M927" s="1"/>
      <c r="N927" s="1"/>
    </row>
    <row r="928" spans="9:14" ht="15.75" customHeight="1" x14ac:dyDescent="0.15">
      <c r="I928" s="1"/>
      <c r="J928" s="1"/>
      <c r="K928" s="1"/>
      <c r="L928" s="1"/>
      <c r="M928" s="1"/>
      <c r="N928" s="1"/>
    </row>
    <row r="929" spans="9:14" ht="15.75" customHeight="1" x14ac:dyDescent="0.15">
      <c r="I929" s="1"/>
      <c r="J929" s="1"/>
      <c r="K929" s="1"/>
      <c r="L929" s="1"/>
      <c r="M929" s="1"/>
      <c r="N929" s="1"/>
    </row>
    <row r="930" spans="9:14" ht="15.75" customHeight="1" x14ac:dyDescent="0.15">
      <c r="I930" s="1"/>
      <c r="J930" s="1"/>
      <c r="K930" s="1"/>
      <c r="L930" s="1"/>
      <c r="M930" s="1"/>
      <c r="N930" s="1"/>
    </row>
    <row r="931" spans="9:14" ht="15.75" customHeight="1" x14ac:dyDescent="0.15">
      <c r="I931" s="1"/>
      <c r="J931" s="1"/>
      <c r="K931" s="1"/>
      <c r="L931" s="1"/>
      <c r="M931" s="1"/>
      <c r="N931" s="1"/>
    </row>
    <row r="932" spans="9:14" ht="15.75" customHeight="1" x14ac:dyDescent="0.15">
      <c r="I932" s="1"/>
      <c r="J932" s="1"/>
      <c r="K932" s="1"/>
      <c r="L932" s="1"/>
      <c r="M932" s="1"/>
      <c r="N932" s="1"/>
    </row>
    <row r="933" spans="9:14" ht="15.75" customHeight="1" x14ac:dyDescent="0.15">
      <c r="I933" s="1"/>
      <c r="J933" s="1"/>
      <c r="K933" s="1"/>
      <c r="L933" s="1"/>
      <c r="M933" s="1"/>
      <c r="N933" s="1"/>
    </row>
    <row r="934" spans="9:14" ht="15.75" customHeight="1" x14ac:dyDescent="0.15">
      <c r="I934" s="1"/>
      <c r="J934" s="1"/>
      <c r="K934" s="1"/>
      <c r="L934" s="1"/>
      <c r="M934" s="1"/>
      <c r="N934" s="1"/>
    </row>
    <row r="935" spans="9:14" ht="15.75" customHeight="1" x14ac:dyDescent="0.15">
      <c r="I935" s="1"/>
      <c r="J935" s="1"/>
      <c r="K935" s="1"/>
      <c r="L935" s="1"/>
      <c r="M935" s="1"/>
      <c r="N935" s="1"/>
    </row>
    <row r="936" spans="9:14" ht="15.75" customHeight="1" x14ac:dyDescent="0.15">
      <c r="I936" s="1"/>
      <c r="J936" s="1"/>
      <c r="K936" s="1"/>
      <c r="L936" s="1"/>
      <c r="M936" s="1"/>
      <c r="N936" s="1"/>
    </row>
    <row r="937" spans="9:14" ht="15.75" customHeight="1" x14ac:dyDescent="0.15">
      <c r="I937" s="1"/>
      <c r="J937" s="1"/>
      <c r="K937" s="1"/>
      <c r="L937" s="1"/>
      <c r="M937" s="1"/>
      <c r="N937" s="1"/>
    </row>
    <row r="938" spans="9:14" ht="15.75" customHeight="1" x14ac:dyDescent="0.15">
      <c r="I938" s="1"/>
      <c r="J938" s="1"/>
      <c r="K938" s="1"/>
      <c r="L938" s="1"/>
      <c r="M938" s="1"/>
      <c r="N938" s="1"/>
    </row>
    <row r="939" spans="9:14" ht="15.75" customHeight="1" x14ac:dyDescent="0.15">
      <c r="I939" s="1"/>
      <c r="J939" s="1"/>
      <c r="K939" s="1"/>
      <c r="L939" s="1"/>
      <c r="M939" s="1"/>
      <c r="N939" s="1"/>
    </row>
    <row r="940" spans="9:14" ht="15.75" customHeight="1" x14ac:dyDescent="0.15">
      <c r="I940" s="1"/>
      <c r="J940" s="1"/>
      <c r="K940" s="1"/>
      <c r="L940" s="1"/>
      <c r="M940" s="1"/>
      <c r="N940" s="1"/>
    </row>
    <row r="941" spans="9:14" ht="15.75" customHeight="1" x14ac:dyDescent="0.15">
      <c r="I941" s="1"/>
      <c r="J941" s="1"/>
      <c r="K941" s="1"/>
      <c r="L941" s="1"/>
      <c r="M941" s="1"/>
      <c r="N941" s="1"/>
    </row>
    <row r="942" spans="9:14" ht="15.75" customHeight="1" x14ac:dyDescent="0.15">
      <c r="I942" s="1"/>
      <c r="J942" s="1"/>
      <c r="K942" s="1"/>
      <c r="L942" s="1"/>
      <c r="M942" s="1"/>
      <c r="N942" s="1"/>
    </row>
    <row r="943" spans="9:14" ht="15.75" customHeight="1" x14ac:dyDescent="0.15">
      <c r="I943" s="1"/>
      <c r="J943" s="1"/>
      <c r="K943" s="1"/>
      <c r="L943" s="1"/>
      <c r="M943" s="1"/>
      <c r="N943" s="1"/>
    </row>
    <row r="944" spans="9:14" ht="15.75" customHeight="1" x14ac:dyDescent="0.15">
      <c r="I944" s="1"/>
      <c r="J944" s="1"/>
      <c r="K944" s="1"/>
      <c r="L944" s="1"/>
      <c r="M944" s="1"/>
      <c r="N944" s="1"/>
    </row>
    <row r="945" spans="9:14" ht="15.75" customHeight="1" x14ac:dyDescent="0.15">
      <c r="I945" s="1"/>
      <c r="J945" s="1"/>
      <c r="K945" s="1"/>
      <c r="L945" s="1"/>
      <c r="M945" s="1"/>
      <c r="N945" s="1"/>
    </row>
    <row r="946" spans="9:14" ht="15.75" customHeight="1" x14ac:dyDescent="0.15">
      <c r="I946" s="1"/>
      <c r="J946" s="1"/>
      <c r="K946" s="1"/>
      <c r="L946" s="1"/>
      <c r="M946" s="1"/>
      <c r="N946" s="1"/>
    </row>
    <row r="947" spans="9:14" ht="15.75" customHeight="1" x14ac:dyDescent="0.15">
      <c r="I947" s="1"/>
      <c r="J947" s="1"/>
      <c r="K947" s="1"/>
      <c r="L947" s="1"/>
      <c r="M947" s="1"/>
      <c r="N947" s="1"/>
    </row>
    <row r="948" spans="9:14" ht="15.75" customHeight="1" x14ac:dyDescent="0.15">
      <c r="I948" s="1"/>
      <c r="J948" s="1"/>
      <c r="K948" s="1"/>
      <c r="L948" s="1"/>
      <c r="M948" s="1"/>
      <c r="N948" s="1"/>
    </row>
    <row r="949" spans="9:14" ht="15.75" customHeight="1" x14ac:dyDescent="0.15">
      <c r="I949" s="1"/>
      <c r="J949" s="1"/>
      <c r="K949" s="1"/>
      <c r="L949" s="1"/>
      <c r="M949" s="1"/>
      <c r="N949" s="1"/>
    </row>
    <row r="950" spans="9:14" ht="15.75" customHeight="1" x14ac:dyDescent="0.15">
      <c r="I950" s="1"/>
      <c r="J950" s="1"/>
      <c r="K950" s="1"/>
      <c r="L950" s="1"/>
      <c r="M950" s="1"/>
      <c r="N950" s="1"/>
    </row>
    <row r="951" spans="9:14" ht="15.75" customHeight="1" x14ac:dyDescent="0.15">
      <c r="I951" s="1"/>
      <c r="J951" s="1"/>
      <c r="K951" s="1"/>
      <c r="L951" s="1"/>
      <c r="M951" s="1"/>
      <c r="N951" s="1"/>
    </row>
    <row r="952" spans="9:14" ht="15.75" customHeight="1" x14ac:dyDescent="0.15">
      <c r="I952" s="1"/>
      <c r="J952" s="1"/>
      <c r="K952" s="1"/>
      <c r="L952" s="1"/>
      <c r="M952" s="1"/>
      <c r="N952" s="1"/>
    </row>
    <row r="953" spans="9:14" ht="15.75" customHeight="1" x14ac:dyDescent="0.15">
      <c r="I953" s="1"/>
      <c r="J953" s="1"/>
      <c r="K953" s="1"/>
      <c r="L953" s="1"/>
      <c r="M953" s="1"/>
      <c r="N953" s="1"/>
    </row>
    <row r="954" spans="9:14" ht="15.75" customHeight="1" x14ac:dyDescent="0.15">
      <c r="I954" s="1"/>
      <c r="J954" s="1"/>
      <c r="K954" s="1"/>
      <c r="L954" s="1"/>
      <c r="M954" s="1"/>
      <c r="N954" s="1"/>
    </row>
    <row r="955" spans="9:14" ht="15.75" customHeight="1" x14ac:dyDescent="0.15">
      <c r="I955" s="1"/>
      <c r="J955" s="1"/>
      <c r="K955" s="1"/>
      <c r="L955" s="1"/>
      <c r="M955" s="1"/>
      <c r="N955" s="1"/>
    </row>
    <row r="956" spans="9:14" ht="15.75" customHeight="1" x14ac:dyDescent="0.15">
      <c r="I956" s="1"/>
      <c r="J956" s="1"/>
      <c r="K956" s="1"/>
      <c r="L956" s="1"/>
      <c r="M956" s="1"/>
      <c r="N956" s="1"/>
    </row>
    <row r="957" spans="9:14" ht="15.75" customHeight="1" x14ac:dyDescent="0.15">
      <c r="I957" s="1"/>
      <c r="J957" s="1"/>
      <c r="K957" s="1"/>
      <c r="L957" s="1"/>
      <c r="M957" s="1"/>
      <c r="N957" s="1"/>
    </row>
    <row r="958" spans="9:14" ht="15.75" customHeight="1" x14ac:dyDescent="0.15">
      <c r="I958" s="1"/>
      <c r="J958" s="1"/>
      <c r="K958" s="1"/>
      <c r="L958" s="1"/>
      <c r="M958" s="1"/>
      <c r="N958" s="1"/>
    </row>
    <row r="959" spans="9:14" ht="15.75" customHeight="1" x14ac:dyDescent="0.15">
      <c r="I959" s="1"/>
      <c r="J959" s="1"/>
      <c r="K959" s="1"/>
      <c r="L959" s="1"/>
      <c r="M959" s="1"/>
      <c r="N959" s="1"/>
    </row>
    <row r="960" spans="9:14" ht="15.75" customHeight="1" x14ac:dyDescent="0.15">
      <c r="I960" s="1"/>
      <c r="J960" s="1"/>
      <c r="K960" s="1"/>
      <c r="L960" s="1"/>
      <c r="M960" s="1"/>
      <c r="N960" s="1"/>
    </row>
    <row r="961" spans="9:14" ht="15.75" customHeight="1" x14ac:dyDescent="0.15">
      <c r="I961" s="1"/>
      <c r="J961" s="1"/>
      <c r="K961" s="1"/>
      <c r="L961" s="1"/>
      <c r="M961" s="1"/>
      <c r="N961" s="1"/>
    </row>
    <row r="962" spans="9:14" ht="15.75" customHeight="1" x14ac:dyDescent="0.15">
      <c r="I962" s="1"/>
      <c r="J962" s="1"/>
      <c r="K962" s="1"/>
      <c r="L962" s="1"/>
      <c r="M962" s="1"/>
      <c r="N962" s="1"/>
    </row>
    <row r="963" spans="9:14" ht="15.75" customHeight="1" x14ac:dyDescent="0.15">
      <c r="I963" s="1"/>
      <c r="J963" s="1"/>
      <c r="K963" s="1"/>
      <c r="L963" s="1"/>
      <c r="M963" s="1"/>
      <c r="N963" s="1"/>
    </row>
    <row r="964" spans="9:14" ht="15.75" customHeight="1" x14ac:dyDescent="0.15">
      <c r="I964" s="1"/>
      <c r="J964" s="1"/>
      <c r="K964" s="1"/>
      <c r="L964" s="1"/>
      <c r="M964" s="1"/>
      <c r="N964" s="1"/>
    </row>
    <row r="965" spans="9:14" ht="15.75" customHeight="1" x14ac:dyDescent="0.15">
      <c r="I965" s="1"/>
      <c r="J965" s="1"/>
      <c r="K965" s="1"/>
      <c r="L965" s="1"/>
      <c r="M965" s="1"/>
      <c r="N965" s="1"/>
    </row>
    <row r="966" spans="9:14" ht="15.75" customHeight="1" x14ac:dyDescent="0.15">
      <c r="I966" s="1"/>
      <c r="J966" s="1"/>
      <c r="K966" s="1"/>
      <c r="L966" s="1"/>
      <c r="M966" s="1"/>
      <c r="N966" s="1"/>
    </row>
    <row r="967" spans="9:14" ht="15.75" customHeight="1" x14ac:dyDescent="0.15">
      <c r="I967" s="1"/>
      <c r="J967" s="1"/>
      <c r="K967" s="1"/>
      <c r="L967" s="1"/>
      <c r="M967" s="1"/>
      <c r="N967" s="1"/>
    </row>
    <row r="968" spans="9:14" ht="15.75" customHeight="1" x14ac:dyDescent="0.15">
      <c r="I968" s="1"/>
      <c r="J968" s="1"/>
      <c r="K968" s="1"/>
      <c r="L968" s="1"/>
      <c r="M968" s="1"/>
      <c r="N968" s="1"/>
    </row>
    <row r="969" spans="9:14" ht="15.75" customHeight="1" x14ac:dyDescent="0.15">
      <c r="I969" s="1"/>
      <c r="J969" s="1"/>
      <c r="K969" s="1"/>
      <c r="L969" s="1"/>
      <c r="M969" s="1"/>
      <c r="N969" s="1"/>
    </row>
    <row r="970" spans="9:14" ht="15.75" customHeight="1" x14ac:dyDescent="0.15">
      <c r="I970" s="1"/>
      <c r="J970" s="1"/>
      <c r="K970" s="1"/>
      <c r="L970" s="1"/>
      <c r="M970" s="1"/>
      <c r="N970" s="1"/>
    </row>
    <row r="971" spans="9:14" ht="15.75" customHeight="1" x14ac:dyDescent="0.15">
      <c r="I971" s="1"/>
      <c r="J971" s="1"/>
      <c r="K971" s="1"/>
      <c r="L971" s="1"/>
      <c r="M971" s="1"/>
      <c r="N971" s="1"/>
    </row>
    <row r="972" spans="9:14" ht="15.75" customHeight="1" x14ac:dyDescent="0.15">
      <c r="I972" s="1"/>
      <c r="J972" s="1"/>
      <c r="K972" s="1"/>
      <c r="L972" s="1"/>
      <c r="M972" s="1"/>
      <c r="N972" s="1"/>
    </row>
    <row r="973" spans="9:14" ht="15.75" customHeight="1" x14ac:dyDescent="0.15">
      <c r="I973" s="1"/>
      <c r="J973" s="1"/>
      <c r="K973" s="1"/>
      <c r="L973" s="1"/>
      <c r="M973" s="1"/>
      <c r="N973" s="1"/>
    </row>
    <row r="974" spans="9:14" ht="15.75" customHeight="1" x14ac:dyDescent="0.15">
      <c r="I974" s="1"/>
      <c r="J974" s="1"/>
      <c r="K974" s="1"/>
      <c r="L974" s="1"/>
      <c r="M974" s="1"/>
      <c r="N974" s="1"/>
    </row>
    <row r="975" spans="9:14" ht="15.75" customHeight="1" x14ac:dyDescent="0.15">
      <c r="I975" s="1"/>
      <c r="J975" s="1"/>
      <c r="K975" s="1"/>
      <c r="L975" s="1"/>
      <c r="M975" s="1"/>
      <c r="N975" s="1"/>
    </row>
    <row r="976" spans="9:14" ht="15.75" customHeight="1" x14ac:dyDescent="0.15">
      <c r="I976" s="1"/>
      <c r="J976" s="1"/>
      <c r="K976" s="1"/>
      <c r="L976" s="1"/>
      <c r="M976" s="1"/>
      <c r="N976" s="1"/>
    </row>
    <row r="977" spans="9:14" ht="15.75" customHeight="1" x14ac:dyDescent="0.15">
      <c r="I977" s="1"/>
      <c r="J977" s="1"/>
      <c r="K977" s="1"/>
      <c r="L977" s="1"/>
      <c r="M977" s="1"/>
      <c r="N977" s="1"/>
    </row>
    <row r="978" spans="9:14" ht="15.75" customHeight="1" x14ac:dyDescent="0.15">
      <c r="I978" s="1"/>
      <c r="J978" s="1"/>
      <c r="K978" s="1"/>
      <c r="L978" s="1"/>
      <c r="M978" s="1"/>
      <c r="N978" s="1"/>
    </row>
    <row r="979" spans="9:14" ht="15.75" customHeight="1" x14ac:dyDescent="0.15">
      <c r="I979" s="1"/>
      <c r="J979" s="1"/>
      <c r="K979" s="1"/>
      <c r="L979" s="1"/>
      <c r="M979" s="1"/>
      <c r="N979" s="1"/>
    </row>
    <row r="980" spans="9:14" ht="15.75" customHeight="1" x14ac:dyDescent="0.15">
      <c r="I980" s="1"/>
      <c r="J980" s="1"/>
      <c r="K980" s="1"/>
      <c r="L980" s="1"/>
      <c r="M980" s="1"/>
      <c r="N980" s="1"/>
    </row>
    <row r="981" spans="9:14" ht="15.75" customHeight="1" x14ac:dyDescent="0.15">
      <c r="I981" s="1"/>
      <c r="J981" s="1"/>
      <c r="K981" s="1"/>
      <c r="L981" s="1"/>
      <c r="M981" s="1"/>
      <c r="N981" s="1"/>
    </row>
    <row r="982" spans="9:14" ht="15.75" customHeight="1" x14ac:dyDescent="0.15">
      <c r="I982" s="1"/>
      <c r="J982" s="1"/>
      <c r="K982" s="1"/>
      <c r="L982" s="1"/>
      <c r="M982" s="1"/>
      <c r="N982" s="1"/>
    </row>
    <row r="983" spans="9:14" ht="15.75" customHeight="1" x14ac:dyDescent="0.15">
      <c r="I983" s="1"/>
      <c r="J983" s="1"/>
      <c r="K983" s="1"/>
      <c r="L983" s="1"/>
      <c r="M983" s="1"/>
      <c r="N983" s="1"/>
    </row>
    <row r="984" spans="9:14" ht="15.75" customHeight="1" x14ac:dyDescent="0.15">
      <c r="I984" s="1"/>
      <c r="J984" s="1"/>
      <c r="K984" s="1"/>
      <c r="L984" s="1"/>
      <c r="M984" s="1"/>
      <c r="N984" s="1"/>
    </row>
    <row r="985" spans="9:14" ht="15.75" customHeight="1" x14ac:dyDescent="0.15">
      <c r="I985" s="1"/>
      <c r="J985" s="1"/>
      <c r="K985" s="1"/>
      <c r="L985" s="1"/>
      <c r="M985" s="1"/>
      <c r="N985" s="1"/>
    </row>
    <row r="986" spans="9:14" ht="15.75" customHeight="1" x14ac:dyDescent="0.15">
      <c r="I986" s="1"/>
      <c r="J986" s="1"/>
      <c r="K986" s="1"/>
      <c r="L986" s="1"/>
      <c r="M986" s="1"/>
      <c r="N986" s="1"/>
    </row>
    <row r="987" spans="9:14" ht="15.75" customHeight="1" x14ac:dyDescent="0.15">
      <c r="I987" s="1"/>
      <c r="J987" s="1"/>
      <c r="K987" s="1"/>
      <c r="L987" s="1"/>
      <c r="M987" s="1"/>
      <c r="N987" s="1"/>
    </row>
    <row r="988" spans="9:14" ht="15.75" customHeight="1" x14ac:dyDescent="0.15">
      <c r="I988" s="1"/>
      <c r="J988" s="1"/>
      <c r="K988" s="1"/>
      <c r="L988" s="1"/>
      <c r="M988" s="1"/>
      <c r="N988" s="1"/>
    </row>
    <row r="989" spans="9:14" ht="15.75" customHeight="1" x14ac:dyDescent="0.15">
      <c r="I989" s="1"/>
      <c r="J989" s="1"/>
      <c r="K989" s="1"/>
      <c r="L989" s="1"/>
      <c r="M989" s="1"/>
      <c r="N989" s="1"/>
    </row>
    <row r="990" spans="9:14" ht="15.75" customHeight="1" x14ac:dyDescent="0.15">
      <c r="I990" s="1"/>
      <c r="J990" s="1"/>
      <c r="K990" s="1"/>
      <c r="L990" s="1"/>
      <c r="M990" s="1"/>
      <c r="N990" s="1"/>
    </row>
    <row r="991" spans="9:14" ht="15.75" customHeight="1" x14ac:dyDescent="0.15">
      <c r="I991" s="1"/>
      <c r="J991" s="1"/>
      <c r="K991" s="1"/>
      <c r="L991" s="1"/>
      <c r="M991" s="1"/>
      <c r="N991" s="1"/>
    </row>
    <row r="992" spans="9:14" ht="15.75" customHeight="1" x14ac:dyDescent="0.15">
      <c r="I992" s="1"/>
      <c r="J992" s="1"/>
      <c r="K992" s="1"/>
      <c r="L992" s="1"/>
      <c r="M992" s="1"/>
      <c r="N992" s="1"/>
    </row>
    <row r="993" spans="9:14" ht="15.75" customHeight="1" x14ac:dyDescent="0.15">
      <c r="I993" s="1"/>
      <c r="J993" s="1"/>
      <c r="K993" s="1"/>
      <c r="L993" s="1"/>
      <c r="M993" s="1"/>
      <c r="N993" s="1"/>
    </row>
    <row r="994" spans="9:14" ht="15.75" customHeight="1" x14ac:dyDescent="0.15">
      <c r="I994" s="1"/>
      <c r="J994" s="1"/>
      <c r="K994" s="1"/>
      <c r="L994" s="1"/>
      <c r="M994" s="1"/>
      <c r="N994" s="1"/>
    </row>
    <row r="995" spans="9:14" ht="15.75" customHeight="1" x14ac:dyDescent="0.15">
      <c r="I995" s="1"/>
      <c r="J995" s="1"/>
      <c r="K995" s="1"/>
      <c r="L995" s="1"/>
      <c r="M995" s="1"/>
      <c r="N995" s="1"/>
    </row>
    <row r="996" spans="9:14" ht="15.75" customHeight="1" x14ac:dyDescent="0.15">
      <c r="I996" s="1"/>
      <c r="J996" s="1"/>
      <c r="K996" s="1"/>
      <c r="L996" s="1"/>
      <c r="M996" s="1"/>
      <c r="N996" s="1"/>
    </row>
    <row r="997" spans="9:14" ht="15.75" customHeight="1" x14ac:dyDescent="0.15">
      <c r="I997" s="1"/>
      <c r="J997" s="1"/>
      <c r="K997" s="1"/>
      <c r="L997" s="1"/>
      <c r="M997" s="1"/>
      <c r="N997" s="1"/>
    </row>
    <row r="998" spans="9:14" ht="15.75" customHeight="1" x14ac:dyDescent="0.15">
      <c r="I998" s="1"/>
      <c r="J998" s="1"/>
      <c r="K998" s="1"/>
      <c r="L998" s="1"/>
      <c r="M998" s="1"/>
      <c r="N998" s="1"/>
    </row>
    <row r="999" spans="9:14" ht="15.75" customHeight="1" x14ac:dyDescent="0.15">
      <c r="I999" s="1"/>
      <c r="J999" s="1"/>
      <c r="K999" s="1"/>
      <c r="L999" s="1"/>
      <c r="M999" s="1"/>
      <c r="N999" s="1"/>
    </row>
    <row r="1000" spans="9:14" ht="15.75" customHeight="1" x14ac:dyDescent="0.15">
      <c r="I1000" s="1"/>
      <c r="J1000" s="1"/>
      <c r="K1000" s="1"/>
      <c r="L1000" s="1"/>
      <c r="M1000" s="1"/>
      <c r="N1000" s="1"/>
    </row>
    <row r="1001" spans="9:14" ht="15.75" customHeight="1" x14ac:dyDescent="0.15">
      <c r="I1001" s="1"/>
      <c r="J1001" s="1"/>
      <c r="K1001" s="1"/>
      <c r="L1001" s="1"/>
      <c r="M1001" s="1"/>
      <c r="N1001" s="1"/>
    </row>
    <row r="1002" spans="9:14" ht="15.75" customHeight="1" x14ac:dyDescent="0.15">
      <c r="I1002" s="1"/>
      <c r="J1002" s="1"/>
      <c r="K1002" s="1"/>
      <c r="L1002" s="1"/>
      <c r="M1002" s="1"/>
      <c r="N1002" s="1"/>
    </row>
    <row r="1003" spans="9:14" ht="15.75" customHeight="1" x14ac:dyDescent="0.15">
      <c r="I1003" s="1"/>
      <c r="J1003" s="1"/>
      <c r="K1003" s="1"/>
      <c r="L1003" s="1"/>
      <c r="M1003" s="1"/>
      <c r="N1003" s="1"/>
    </row>
    <row r="1004" spans="9:14" ht="15.75" customHeight="1" x14ac:dyDescent="0.15">
      <c r="I1004" s="1"/>
      <c r="J1004" s="1"/>
      <c r="K1004" s="1"/>
      <c r="L1004" s="1"/>
      <c r="M1004" s="1"/>
      <c r="N1004" s="1"/>
    </row>
    <row r="1005" spans="9:14" ht="15.75" customHeight="1" x14ac:dyDescent="0.15">
      <c r="I1005" s="1"/>
      <c r="J1005" s="1"/>
      <c r="K1005" s="1"/>
      <c r="L1005" s="1"/>
      <c r="M1005" s="1"/>
      <c r="N1005" s="1"/>
    </row>
    <row r="1006" spans="9:14" ht="15.75" customHeight="1" x14ac:dyDescent="0.15">
      <c r="I1006" s="1"/>
      <c r="J1006" s="1"/>
      <c r="K1006" s="1"/>
      <c r="L1006" s="1"/>
      <c r="M1006" s="1"/>
      <c r="N1006" s="1"/>
    </row>
    <row r="1007" spans="9:14" ht="15.75" customHeight="1" x14ac:dyDescent="0.15">
      <c r="I1007" s="1"/>
      <c r="J1007" s="1"/>
      <c r="K1007" s="1"/>
      <c r="L1007" s="1"/>
      <c r="M1007" s="1"/>
      <c r="N1007" s="1"/>
    </row>
    <row r="1008" spans="9:14" ht="15.75" customHeight="1" x14ac:dyDescent="0.15">
      <c r="I1008" s="1"/>
      <c r="J1008" s="1"/>
      <c r="K1008" s="1"/>
      <c r="L1008" s="1"/>
      <c r="M1008" s="1"/>
      <c r="N1008" s="1"/>
    </row>
    <row r="1009" spans="9:14" ht="15.75" customHeight="1" x14ac:dyDescent="0.15">
      <c r="I1009" s="1"/>
      <c r="J1009" s="1"/>
      <c r="K1009" s="1"/>
      <c r="L1009" s="1"/>
      <c r="M1009" s="1"/>
      <c r="N1009" s="1"/>
    </row>
    <row r="1010" spans="9:14" ht="15.75" customHeight="1" x14ac:dyDescent="0.15">
      <c r="I1010" s="1"/>
      <c r="J1010" s="1"/>
      <c r="K1010" s="1"/>
      <c r="L1010" s="1"/>
      <c r="M1010" s="1"/>
      <c r="N1010" s="1"/>
    </row>
    <row r="1011" spans="9:14" ht="15.75" customHeight="1" x14ac:dyDescent="0.15">
      <c r="I1011" s="1"/>
      <c r="J1011" s="1"/>
      <c r="K1011" s="1"/>
      <c r="L1011" s="1"/>
      <c r="M1011" s="1"/>
      <c r="N1011" s="1"/>
    </row>
    <row r="1012" spans="9:14" ht="15.75" customHeight="1" x14ac:dyDescent="0.15">
      <c r="I1012" s="1"/>
      <c r="J1012" s="1"/>
      <c r="K1012" s="1"/>
      <c r="L1012" s="1"/>
      <c r="M1012" s="1"/>
      <c r="N1012" s="1"/>
    </row>
    <row r="1013" spans="9:14" ht="15.75" customHeight="1" x14ac:dyDescent="0.15">
      <c r="I1013" s="1"/>
      <c r="J1013" s="1"/>
      <c r="K1013" s="1"/>
      <c r="L1013" s="1"/>
      <c r="M1013" s="1"/>
      <c r="N1013" s="1"/>
    </row>
    <row r="1014" spans="9:14" ht="15.75" customHeight="1" x14ac:dyDescent="0.15">
      <c r="I1014" s="1"/>
      <c r="J1014" s="1"/>
      <c r="K1014" s="1"/>
      <c r="L1014" s="1"/>
      <c r="M1014" s="1"/>
      <c r="N1014" s="1"/>
    </row>
    <row r="1015" spans="9:14" ht="15.75" customHeight="1" x14ac:dyDescent="0.15">
      <c r="I1015" s="1"/>
      <c r="J1015" s="1"/>
      <c r="K1015" s="1"/>
      <c r="L1015" s="1"/>
      <c r="M1015" s="1"/>
      <c r="N1015" s="1"/>
    </row>
    <row r="1016" spans="9:14" ht="15.75" customHeight="1" x14ac:dyDescent="0.15">
      <c r="I1016" s="1"/>
      <c r="J1016" s="1"/>
      <c r="K1016" s="1"/>
      <c r="L1016" s="1"/>
      <c r="M1016" s="1"/>
      <c r="N1016" s="1"/>
    </row>
    <row r="1017" spans="9:14" ht="15.75" customHeight="1" x14ac:dyDescent="0.15">
      <c r="I1017" s="1"/>
      <c r="J1017" s="1"/>
      <c r="K1017" s="1"/>
      <c r="L1017" s="1"/>
      <c r="M1017" s="1"/>
      <c r="N1017" s="1"/>
    </row>
    <row r="1018" spans="9:14" ht="15.75" customHeight="1" x14ac:dyDescent="0.15">
      <c r="I1018" s="1"/>
      <c r="J1018" s="1"/>
      <c r="K1018" s="1"/>
      <c r="L1018" s="1"/>
      <c r="M1018" s="1"/>
      <c r="N1018" s="1"/>
    </row>
    <row r="1019" spans="9:14" ht="15.75" customHeight="1" x14ac:dyDescent="0.15">
      <c r="I1019" s="1"/>
      <c r="J1019" s="1"/>
      <c r="K1019" s="1"/>
      <c r="L1019" s="1"/>
      <c r="M1019" s="1"/>
      <c r="N1019" s="1"/>
    </row>
    <row r="1020" spans="9:14" ht="15.75" customHeight="1" x14ac:dyDescent="0.15">
      <c r="I1020" s="1"/>
      <c r="J1020" s="1"/>
      <c r="K1020" s="1"/>
      <c r="L1020" s="1"/>
      <c r="M1020" s="1"/>
      <c r="N1020" s="1"/>
    </row>
    <row r="1021" spans="9:14" ht="15.75" customHeight="1" x14ac:dyDescent="0.15">
      <c r="I1021" s="1"/>
      <c r="J1021" s="1"/>
      <c r="K1021" s="1"/>
      <c r="L1021" s="1"/>
      <c r="M1021" s="1"/>
      <c r="N1021" s="1"/>
    </row>
    <row r="1022" spans="9:14" ht="15.75" customHeight="1" x14ac:dyDescent="0.15">
      <c r="I1022" s="1"/>
      <c r="J1022" s="1"/>
      <c r="K1022" s="1"/>
      <c r="L1022" s="1"/>
      <c r="M1022" s="1"/>
      <c r="N1022" s="1"/>
    </row>
    <row r="1023" spans="9:14" ht="15.75" customHeight="1" x14ac:dyDescent="0.15">
      <c r="I1023" s="1"/>
      <c r="J1023" s="1"/>
      <c r="K1023" s="1"/>
      <c r="L1023" s="1"/>
      <c r="M1023" s="1"/>
      <c r="N1023" s="1"/>
    </row>
    <row r="1024" spans="9:14" ht="15.75" customHeight="1" x14ac:dyDescent="0.15">
      <c r="I1024" s="1"/>
      <c r="J1024" s="1"/>
      <c r="K1024" s="1"/>
      <c r="L1024" s="1"/>
      <c r="M1024" s="1"/>
      <c r="N1024" s="1"/>
    </row>
    <row r="1025" spans="9:14" ht="15.75" customHeight="1" x14ac:dyDescent="0.15">
      <c r="I1025" s="1"/>
      <c r="J1025" s="1"/>
      <c r="K1025" s="1"/>
      <c r="L1025" s="1"/>
      <c r="M1025" s="1"/>
      <c r="N1025" s="1"/>
    </row>
    <row r="1026" spans="9:14" ht="15.75" customHeight="1" x14ac:dyDescent="0.15">
      <c r="I1026" s="1"/>
      <c r="J1026" s="1"/>
      <c r="K1026" s="1"/>
      <c r="L1026" s="1"/>
      <c r="M1026" s="1"/>
      <c r="N1026" s="1"/>
    </row>
    <row r="1027" spans="9:14" ht="15.75" customHeight="1" x14ac:dyDescent="0.15">
      <c r="I1027" s="1"/>
      <c r="J1027" s="1"/>
      <c r="K1027" s="1"/>
      <c r="L1027" s="1"/>
      <c r="M1027" s="1"/>
      <c r="N1027" s="1"/>
    </row>
    <row r="1028" spans="9:14" ht="15.75" customHeight="1" x14ac:dyDescent="0.15">
      <c r="I1028" s="1"/>
      <c r="J1028" s="1"/>
      <c r="K1028" s="1"/>
      <c r="L1028" s="1"/>
      <c r="M1028" s="1"/>
      <c r="N1028" s="1"/>
    </row>
    <row r="1029" spans="9:14" ht="15.75" customHeight="1" x14ac:dyDescent="0.15">
      <c r="I1029" s="1"/>
      <c r="J1029" s="1"/>
      <c r="K1029" s="1"/>
      <c r="L1029" s="1"/>
      <c r="M1029" s="1"/>
      <c r="N1029" s="1"/>
    </row>
    <row r="1030" spans="9:14" ht="15.75" customHeight="1" x14ac:dyDescent="0.15">
      <c r="I1030" s="1"/>
      <c r="J1030" s="1"/>
      <c r="K1030" s="1"/>
      <c r="L1030" s="1"/>
      <c r="M1030" s="1"/>
      <c r="N1030" s="1"/>
    </row>
    <row r="1031" spans="9:14" ht="15.75" customHeight="1" x14ac:dyDescent="0.15">
      <c r="I1031" s="1"/>
      <c r="J1031" s="1"/>
      <c r="K1031" s="1"/>
      <c r="L1031" s="1"/>
      <c r="M1031" s="1"/>
      <c r="N1031" s="1"/>
    </row>
    <row r="1032" spans="9:14" ht="15.75" customHeight="1" x14ac:dyDescent="0.15">
      <c r="I1032" s="1"/>
      <c r="J1032" s="1"/>
      <c r="K1032" s="1"/>
      <c r="L1032" s="1"/>
      <c r="M1032" s="1"/>
      <c r="N1032" s="1"/>
    </row>
    <row r="1033" spans="9:14" ht="15.75" customHeight="1" x14ac:dyDescent="0.15">
      <c r="I1033" s="1"/>
      <c r="J1033" s="1"/>
      <c r="K1033" s="1"/>
      <c r="L1033" s="1"/>
      <c r="M1033" s="1"/>
      <c r="N1033" s="1"/>
    </row>
    <row r="1034" spans="9:14" ht="15.75" customHeight="1" x14ac:dyDescent="0.15">
      <c r="I1034" s="1"/>
      <c r="J1034" s="1"/>
      <c r="K1034" s="1"/>
      <c r="L1034" s="1"/>
      <c r="M1034" s="1"/>
      <c r="N1034" s="1"/>
    </row>
    <row r="1035" spans="9:14" ht="15.75" customHeight="1" x14ac:dyDescent="0.15">
      <c r="I1035" s="1"/>
      <c r="J1035" s="1"/>
      <c r="K1035" s="1"/>
      <c r="L1035" s="1"/>
      <c r="M1035" s="1"/>
      <c r="N1035" s="1"/>
    </row>
    <row r="1036" spans="9:14" ht="15.75" customHeight="1" x14ac:dyDescent="0.15">
      <c r="I1036" s="1"/>
      <c r="J1036" s="1"/>
      <c r="K1036" s="1"/>
      <c r="L1036" s="1"/>
      <c r="M1036" s="1"/>
      <c r="N1036" s="1"/>
    </row>
    <row r="1037" spans="9:14" ht="15.75" customHeight="1" x14ac:dyDescent="0.15">
      <c r="I1037" s="1"/>
      <c r="J1037" s="1"/>
      <c r="K1037" s="1"/>
      <c r="L1037" s="1"/>
      <c r="M1037" s="1"/>
      <c r="N1037" s="1"/>
    </row>
    <row r="1038" spans="9:14" ht="15.75" customHeight="1" x14ac:dyDescent="0.15">
      <c r="I1038" s="1"/>
      <c r="J1038" s="1"/>
      <c r="K1038" s="1"/>
      <c r="L1038" s="1"/>
      <c r="M1038" s="1"/>
      <c r="N1038" s="1"/>
    </row>
    <row r="1039" spans="9:14" ht="15.75" customHeight="1" x14ac:dyDescent="0.15">
      <c r="I1039" s="1"/>
      <c r="J1039" s="1"/>
      <c r="K1039" s="1"/>
      <c r="L1039" s="1"/>
      <c r="M1039" s="1"/>
      <c r="N1039" s="1"/>
    </row>
    <row r="1040" spans="9:14" ht="15.75" customHeight="1" x14ac:dyDescent="0.15">
      <c r="I1040" s="1"/>
      <c r="J1040" s="1"/>
      <c r="K1040" s="1"/>
      <c r="L1040" s="1"/>
      <c r="M1040" s="1"/>
      <c r="N1040" s="1"/>
    </row>
    <row r="1041" spans="9:14" ht="15.75" customHeight="1" x14ac:dyDescent="0.15">
      <c r="I1041" s="1"/>
      <c r="J1041" s="1"/>
      <c r="K1041" s="1"/>
      <c r="L1041" s="1"/>
      <c r="M1041" s="1"/>
      <c r="N1041" s="1"/>
    </row>
    <row r="1042" spans="9:14" ht="15.75" customHeight="1" x14ac:dyDescent="0.15">
      <c r="I1042" s="1"/>
      <c r="J1042" s="1"/>
      <c r="K1042" s="1"/>
      <c r="L1042" s="1"/>
      <c r="M1042" s="1"/>
      <c r="N1042" s="1"/>
    </row>
    <row r="1043" spans="9:14" ht="15.75" customHeight="1" x14ac:dyDescent="0.15">
      <c r="I1043" s="1"/>
      <c r="J1043" s="1"/>
      <c r="K1043" s="1"/>
      <c r="L1043" s="1"/>
      <c r="M1043" s="1"/>
      <c r="N1043" s="1"/>
    </row>
    <row r="1044" spans="9:14" ht="15.75" customHeight="1" x14ac:dyDescent="0.15">
      <c r="I1044" s="1"/>
      <c r="J1044" s="1"/>
      <c r="K1044" s="1"/>
      <c r="L1044" s="1"/>
      <c r="M1044" s="1"/>
      <c r="N1044" s="1"/>
    </row>
    <row r="1045" spans="9:14" ht="15.75" customHeight="1" x14ac:dyDescent="0.15">
      <c r="I1045" s="1"/>
      <c r="J1045" s="1"/>
      <c r="K1045" s="1"/>
      <c r="L1045" s="1"/>
      <c r="M1045" s="1"/>
      <c r="N1045" s="1"/>
    </row>
    <row r="1046" spans="9:14" ht="15.75" customHeight="1" x14ac:dyDescent="0.15">
      <c r="I1046" s="1"/>
      <c r="J1046" s="1"/>
      <c r="K1046" s="1"/>
      <c r="L1046" s="1"/>
      <c r="M1046" s="1"/>
      <c r="N1046" s="1"/>
    </row>
    <row r="1047" spans="9:14" ht="15.75" customHeight="1" x14ac:dyDescent="0.15">
      <c r="I1047" s="1"/>
      <c r="J1047" s="1"/>
      <c r="K1047" s="1"/>
      <c r="L1047" s="1"/>
      <c r="M1047" s="1"/>
      <c r="N1047" s="1"/>
    </row>
    <row r="1048" spans="9:14" ht="15.75" customHeight="1" x14ac:dyDescent="0.15">
      <c r="I1048" s="1"/>
      <c r="J1048" s="1"/>
      <c r="K1048" s="1"/>
      <c r="L1048" s="1"/>
      <c r="M1048" s="1"/>
      <c r="N1048" s="1"/>
    </row>
    <row r="1049" spans="9:14" ht="15.75" customHeight="1" x14ac:dyDescent="0.15">
      <c r="I1049" s="1"/>
      <c r="J1049" s="1"/>
      <c r="K1049" s="1"/>
      <c r="L1049" s="1"/>
      <c r="M1049" s="1"/>
      <c r="N1049" s="1"/>
    </row>
    <row r="1050" spans="9:14" ht="15.75" customHeight="1" x14ac:dyDescent="0.15">
      <c r="I1050" s="1"/>
      <c r="J1050" s="1"/>
      <c r="K1050" s="1"/>
      <c r="L1050" s="1"/>
      <c r="M1050" s="1"/>
      <c r="N1050" s="1"/>
    </row>
    <row r="1051" spans="9:14" ht="15.75" customHeight="1" x14ac:dyDescent="0.15">
      <c r="I1051" s="1"/>
      <c r="J1051" s="1"/>
      <c r="K1051" s="1"/>
      <c r="L1051" s="1"/>
      <c r="M1051" s="1"/>
      <c r="N1051" s="1"/>
    </row>
    <row r="1052" spans="9:14" ht="15.75" customHeight="1" x14ac:dyDescent="0.15">
      <c r="I1052" s="1"/>
      <c r="J1052" s="1"/>
      <c r="K1052" s="1"/>
      <c r="L1052" s="1"/>
      <c r="M1052" s="1"/>
      <c r="N1052" s="1"/>
    </row>
    <row r="1053" spans="9:14" ht="15.75" customHeight="1" x14ac:dyDescent="0.15">
      <c r="I1053" s="1"/>
      <c r="J1053" s="1"/>
      <c r="K1053" s="1"/>
      <c r="L1053" s="1"/>
      <c r="M1053" s="1"/>
      <c r="N1053" s="1"/>
    </row>
    <row r="1054" spans="9:14" ht="15.75" customHeight="1" x14ac:dyDescent="0.15">
      <c r="I1054" s="1"/>
      <c r="J1054" s="1"/>
      <c r="K1054" s="1"/>
      <c r="L1054" s="1"/>
      <c r="M1054" s="1"/>
      <c r="N1054" s="1"/>
    </row>
    <row r="1055" spans="9:14" ht="15.75" customHeight="1" x14ac:dyDescent="0.15">
      <c r="I1055" s="1"/>
      <c r="J1055" s="1"/>
      <c r="K1055" s="1"/>
      <c r="L1055" s="1"/>
      <c r="M1055" s="1"/>
      <c r="N1055" s="1"/>
    </row>
    <row r="1056" spans="9:14" ht="15.75" customHeight="1" x14ac:dyDescent="0.15">
      <c r="I1056" s="1"/>
      <c r="J1056" s="1"/>
      <c r="K1056" s="1"/>
      <c r="L1056" s="1"/>
      <c r="M1056" s="1"/>
      <c r="N1056" s="1"/>
    </row>
    <row r="1057" spans="9:14" ht="15.75" customHeight="1" x14ac:dyDescent="0.15">
      <c r="I1057" s="1"/>
      <c r="J1057" s="1"/>
      <c r="K1057" s="1"/>
      <c r="L1057" s="1"/>
      <c r="M1057" s="1"/>
      <c r="N1057" s="1"/>
    </row>
    <row r="1058" spans="9:14" ht="15.75" customHeight="1" x14ac:dyDescent="0.15">
      <c r="I1058" s="1"/>
      <c r="J1058" s="1"/>
      <c r="K1058" s="1"/>
      <c r="L1058" s="1"/>
      <c r="M1058" s="1"/>
      <c r="N1058" s="1"/>
    </row>
    <row r="1059" spans="9:14" ht="15.75" customHeight="1" x14ac:dyDescent="0.15">
      <c r="I1059" s="1"/>
      <c r="J1059" s="1"/>
      <c r="K1059" s="1"/>
      <c r="L1059" s="1"/>
      <c r="M1059" s="1"/>
      <c r="N1059" s="1"/>
    </row>
    <row r="1060" spans="9:14" ht="15.75" customHeight="1" x14ac:dyDescent="0.15">
      <c r="I1060" s="1"/>
      <c r="J1060" s="1"/>
      <c r="K1060" s="1"/>
      <c r="L1060" s="1"/>
      <c r="M1060" s="1"/>
      <c r="N1060" s="1"/>
    </row>
    <row r="1061" spans="9:14" ht="15.75" customHeight="1" x14ac:dyDescent="0.15">
      <c r="I1061" s="1"/>
      <c r="J1061" s="1"/>
      <c r="K1061" s="1"/>
      <c r="L1061" s="1"/>
      <c r="M1061" s="1"/>
      <c r="N1061" s="1"/>
    </row>
    <row r="1062" spans="9:14" ht="15.75" customHeight="1" x14ac:dyDescent="0.15">
      <c r="I1062" s="1"/>
      <c r="J1062" s="1"/>
      <c r="K1062" s="1"/>
      <c r="L1062" s="1"/>
      <c r="M1062" s="1"/>
      <c r="N1062" s="1"/>
    </row>
    <row r="1063" spans="9:14" ht="15.75" customHeight="1" x14ac:dyDescent="0.15">
      <c r="I1063" s="1"/>
      <c r="J1063" s="1"/>
      <c r="K1063" s="1"/>
      <c r="L1063" s="1"/>
      <c r="M1063" s="1"/>
      <c r="N1063" s="1"/>
    </row>
    <row r="1064" spans="9:14" ht="15.75" customHeight="1" x14ac:dyDescent="0.15">
      <c r="I1064" s="1"/>
      <c r="J1064" s="1"/>
      <c r="K1064" s="1"/>
      <c r="L1064" s="1"/>
      <c r="M1064" s="1"/>
      <c r="N1064" s="1"/>
    </row>
    <row r="1065" spans="9:14" ht="15.75" customHeight="1" x14ac:dyDescent="0.15">
      <c r="I1065" s="1"/>
      <c r="J1065" s="1"/>
      <c r="K1065" s="1"/>
      <c r="L1065" s="1"/>
      <c r="M1065" s="1"/>
      <c r="N1065" s="1"/>
    </row>
    <row r="1066" spans="9:14" ht="15.75" customHeight="1" x14ac:dyDescent="0.15">
      <c r="I1066" s="1"/>
      <c r="J1066" s="1"/>
      <c r="K1066" s="1"/>
      <c r="L1066" s="1"/>
      <c r="M1066" s="1"/>
      <c r="N1066" s="1"/>
    </row>
    <row r="1067" spans="9:14" ht="15.75" customHeight="1" x14ac:dyDescent="0.15">
      <c r="I1067" s="1"/>
      <c r="J1067" s="1"/>
      <c r="K1067" s="1"/>
      <c r="L1067" s="1"/>
      <c r="M1067" s="1"/>
      <c r="N1067" s="1"/>
    </row>
    <row r="1068" spans="9:14" ht="15.75" customHeight="1" x14ac:dyDescent="0.15">
      <c r="I1068" s="1"/>
      <c r="J1068" s="1"/>
      <c r="K1068" s="1"/>
      <c r="L1068" s="1"/>
      <c r="M1068" s="1"/>
      <c r="N1068" s="1"/>
    </row>
    <row r="1069" spans="9:14" ht="15.75" customHeight="1" x14ac:dyDescent="0.15">
      <c r="I1069" s="1"/>
      <c r="J1069" s="1"/>
      <c r="K1069" s="1"/>
      <c r="L1069" s="1"/>
      <c r="M1069" s="1"/>
      <c r="N1069" s="1"/>
    </row>
    <row r="1070" spans="9:14" ht="15.75" customHeight="1" x14ac:dyDescent="0.15">
      <c r="I1070" s="1"/>
      <c r="J1070" s="1"/>
      <c r="K1070" s="1"/>
      <c r="L1070" s="1"/>
      <c r="M1070" s="1"/>
      <c r="N1070" s="1"/>
    </row>
    <row r="1071" spans="9:14" ht="15.75" customHeight="1" x14ac:dyDescent="0.15">
      <c r="I1071" s="1"/>
      <c r="J1071" s="1"/>
      <c r="K1071" s="1"/>
      <c r="L1071" s="1"/>
      <c r="M1071" s="1"/>
      <c r="N1071" s="1"/>
    </row>
    <row r="1072" spans="9:14" ht="15.75" customHeight="1" x14ac:dyDescent="0.15">
      <c r="I1072" s="1"/>
      <c r="J1072" s="1"/>
      <c r="K1072" s="1"/>
      <c r="L1072" s="1"/>
      <c r="M1072" s="1"/>
      <c r="N1072" s="1"/>
    </row>
    <row r="1073" spans="9:14" ht="15.75" customHeight="1" x14ac:dyDescent="0.15">
      <c r="I1073" s="1"/>
      <c r="J1073" s="1"/>
      <c r="K1073" s="1"/>
      <c r="L1073" s="1"/>
      <c r="M1073" s="1"/>
      <c r="N1073" s="1"/>
    </row>
    <row r="1074" spans="9:14" ht="15.75" customHeight="1" x14ac:dyDescent="0.15">
      <c r="I1074" s="1"/>
      <c r="J1074" s="1"/>
      <c r="K1074" s="1"/>
      <c r="L1074" s="1"/>
      <c r="M1074" s="1"/>
      <c r="N1074" s="1"/>
    </row>
    <row r="1075" spans="9:14" ht="15.75" customHeight="1" x14ac:dyDescent="0.15">
      <c r="I1075" s="1"/>
      <c r="J1075" s="1"/>
      <c r="K1075" s="1"/>
      <c r="L1075" s="1"/>
      <c r="M1075" s="1"/>
      <c r="N1075" s="1"/>
    </row>
    <row r="1076" spans="9:14" ht="15.75" customHeight="1" x14ac:dyDescent="0.15">
      <c r="I1076" s="1"/>
      <c r="J1076" s="1"/>
      <c r="K1076" s="1"/>
      <c r="L1076" s="1"/>
      <c r="M1076" s="1"/>
      <c r="N1076" s="1"/>
    </row>
    <row r="1077" spans="9:14" ht="15.75" customHeight="1" x14ac:dyDescent="0.15">
      <c r="I1077" s="1"/>
      <c r="J1077" s="1"/>
      <c r="K1077" s="1"/>
      <c r="L1077" s="1"/>
      <c r="M1077" s="1"/>
      <c r="N1077" s="1"/>
    </row>
    <row r="1078" spans="9:14" ht="15.75" customHeight="1" x14ac:dyDescent="0.15">
      <c r="I1078" s="1"/>
      <c r="J1078" s="1"/>
      <c r="K1078" s="1"/>
      <c r="L1078" s="1"/>
      <c r="M1078" s="1"/>
      <c r="N1078" s="1"/>
    </row>
    <row r="1079" spans="9:14" ht="15.75" customHeight="1" x14ac:dyDescent="0.15">
      <c r="I1079" s="1"/>
      <c r="J1079" s="1"/>
      <c r="K1079" s="1"/>
      <c r="L1079" s="1"/>
      <c r="M1079" s="1"/>
      <c r="N1079" s="1"/>
    </row>
    <row r="1080" spans="9:14" ht="15.75" customHeight="1" x14ac:dyDescent="0.15">
      <c r="I1080" s="1"/>
      <c r="J1080" s="1"/>
      <c r="K1080" s="1"/>
      <c r="L1080" s="1"/>
      <c r="M1080" s="1"/>
      <c r="N1080" s="1"/>
    </row>
    <row r="1081" spans="9:14" ht="15.75" customHeight="1" x14ac:dyDescent="0.15">
      <c r="I1081" s="1"/>
      <c r="J1081" s="1"/>
      <c r="K1081" s="1"/>
      <c r="L1081" s="1"/>
      <c r="M1081" s="1"/>
      <c r="N1081" s="1"/>
    </row>
    <row r="1082" spans="9:14" ht="15.75" customHeight="1" x14ac:dyDescent="0.15">
      <c r="I1082" s="1"/>
      <c r="J1082" s="1"/>
      <c r="K1082" s="1"/>
      <c r="L1082" s="1"/>
      <c r="M1082" s="1"/>
      <c r="N1082" s="1"/>
    </row>
    <row r="1083" spans="9:14" ht="15.75" customHeight="1" x14ac:dyDescent="0.15">
      <c r="I1083" s="1"/>
      <c r="J1083" s="1"/>
      <c r="K1083" s="1"/>
      <c r="L1083" s="1"/>
      <c r="M1083" s="1"/>
      <c r="N1083" s="1"/>
    </row>
    <row r="1084" spans="9:14" ht="15.75" customHeight="1" x14ac:dyDescent="0.15">
      <c r="I1084" s="1"/>
      <c r="J1084" s="1"/>
      <c r="K1084" s="1"/>
      <c r="L1084" s="1"/>
      <c r="M1084" s="1"/>
      <c r="N1084" s="1"/>
    </row>
    <row r="1085" spans="9:14" ht="15.75" customHeight="1" x14ac:dyDescent="0.15">
      <c r="I1085" s="1"/>
      <c r="J1085" s="1"/>
      <c r="K1085" s="1"/>
      <c r="L1085" s="1"/>
      <c r="M1085" s="1"/>
      <c r="N1085" s="1"/>
    </row>
    <row r="1086" spans="9:14" ht="15.75" customHeight="1" x14ac:dyDescent="0.15">
      <c r="I1086" s="1"/>
      <c r="J1086" s="1"/>
      <c r="K1086" s="1"/>
      <c r="L1086" s="1"/>
      <c r="M1086" s="1"/>
      <c r="N1086" s="1"/>
    </row>
    <row r="1087" spans="9:14" ht="15.75" customHeight="1" x14ac:dyDescent="0.15">
      <c r="I1087" s="1"/>
      <c r="J1087" s="1"/>
      <c r="K1087" s="1"/>
      <c r="L1087" s="1"/>
      <c r="M1087" s="1"/>
      <c r="N1087" s="1"/>
    </row>
    <row r="1088" spans="9:14" ht="15.75" customHeight="1" x14ac:dyDescent="0.15">
      <c r="I1088" s="1"/>
      <c r="J1088" s="1"/>
      <c r="K1088" s="1"/>
      <c r="L1088" s="1"/>
      <c r="M1088" s="1"/>
      <c r="N1088" s="1"/>
    </row>
    <row r="1089" spans="9:14" ht="15.75" customHeight="1" x14ac:dyDescent="0.15">
      <c r="I1089" s="1"/>
      <c r="J1089" s="1"/>
      <c r="K1089" s="1"/>
      <c r="L1089" s="1"/>
      <c r="M1089" s="1"/>
      <c r="N1089" s="1"/>
    </row>
    <row r="1090" spans="9:14" ht="15.75" customHeight="1" x14ac:dyDescent="0.15">
      <c r="I1090" s="1"/>
      <c r="J1090" s="1"/>
      <c r="K1090" s="1"/>
      <c r="L1090" s="1"/>
      <c r="M1090" s="1"/>
      <c r="N1090" s="1"/>
    </row>
    <row r="1091" spans="9:14" ht="15.75" customHeight="1" x14ac:dyDescent="0.15">
      <c r="I1091" s="1"/>
      <c r="J1091" s="1"/>
      <c r="K1091" s="1"/>
      <c r="L1091" s="1"/>
      <c r="M1091" s="1"/>
      <c r="N1091" s="1"/>
    </row>
    <row r="1092" spans="9:14" ht="15.75" customHeight="1" x14ac:dyDescent="0.15">
      <c r="I1092" s="1"/>
      <c r="J1092" s="1"/>
      <c r="K1092" s="1"/>
      <c r="L1092" s="1"/>
      <c r="M1092" s="1"/>
      <c r="N1092" s="1"/>
    </row>
    <row r="1093" spans="9:14" ht="15.75" customHeight="1" x14ac:dyDescent="0.15">
      <c r="I1093" s="1"/>
      <c r="J1093" s="1"/>
      <c r="K1093" s="1"/>
      <c r="L1093" s="1"/>
      <c r="M1093" s="1"/>
      <c r="N1093" s="1"/>
    </row>
    <row r="1094" spans="9:14" ht="15.75" customHeight="1" x14ac:dyDescent="0.15">
      <c r="I1094" s="1"/>
      <c r="J1094" s="1"/>
      <c r="K1094" s="1"/>
      <c r="L1094" s="1"/>
      <c r="M1094" s="1"/>
      <c r="N1094" s="1"/>
    </row>
    <row r="1095" spans="9:14" ht="15.75" customHeight="1" x14ac:dyDescent="0.15">
      <c r="I1095" s="1"/>
      <c r="J1095" s="1"/>
      <c r="K1095" s="1"/>
      <c r="L1095" s="1"/>
      <c r="M1095" s="1"/>
      <c r="N1095" s="1"/>
    </row>
    <row r="1096" spans="9:14" ht="15.75" customHeight="1" x14ac:dyDescent="0.15">
      <c r="I1096" s="1"/>
      <c r="J1096" s="1"/>
      <c r="K1096" s="1"/>
      <c r="L1096" s="1"/>
      <c r="M1096" s="1"/>
      <c r="N1096" s="1"/>
    </row>
    <row r="1097" spans="9:14" ht="15.75" customHeight="1" x14ac:dyDescent="0.15">
      <c r="I1097" s="1"/>
      <c r="J1097" s="1"/>
      <c r="K1097" s="1"/>
      <c r="L1097" s="1"/>
      <c r="M1097" s="1"/>
      <c r="N1097" s="1"/>
    </row>
    <row r="1098" spans="9:14" ht="15.75" customHeight="1" x14ac:dyDescent="0.15">
      <c r="I1098" s="1"/>
      <c r="J1098" s="1"/>
      <c r="K1098" s="1"/>
      <c r="L1098" s="1"/>
      <c r="M1098" s="1"/>
      <c r="N1098" s="1"/>
    </row>
    <row r="1099" spans="9:14" ht="15.75" customHeight="1" x14ac:dyDescent="0.15">
      <c r="I1099" s="1"/>
      <c r="J1099" s="1"/>
      <c r="K1099" s="1"/>
      <c r="L1099" s="1"/>
      <c r="M1099" s="1"/>
      <c r="N1099" s="1"/>
    </row>
    <row r="1100" spans="9:14" ht="15.75" customHeight="1" x14ac:dyDescent="0.15">
      <c r="I1100" s="1"/>
      <c r="J1100" s="1"/>
      <c r="K1100" s="1"/>
      <c r="L1100" s="1"/>
      <c r="M1100" s="1"/>
      <c r="N1100" s="1"/>
    </row>
    <row r="1101" spans="9:14" ht="15.75" customHeight="1" x14ac:dyDescent="0.15">
      <c r="I1101" s="1"/>
      <c r="J1101" s="1"/>
      <c r="K1101" s="1"/>
      <c r="L1101" s="1"/>
      <c r="M1101" s="1"/>
      <c r="N1101" s="1"/>
    </row>
    <row r="1102" spans="9:14" ht="15.75" customHeight="1" x14ac:dyDescent="0.15">
      <c r="I1102" s="1"/>
      <c r="J1102" s="1"/>
      <c r="K1102" s="1"/>
      <c r="L1102" s="1"/>
      <c r="M1102" s="1"/>
      <c r="N1102" s="1"/>
    </row>
    <row r="1103" spans="9:14" ht="15.75" customHeight="1" x14ac:dyDescent="0.15">
      <c r="I1103" s="1"/>
      <c r="J1103" s="1"/>
      <c r="K1103" s="1"/>
      <c r="L1103" s="1"/>
      <c r="M1103" s="1"/>
      <c r="N1103" s="1"/>
    </row>
    <row r="1104" spans="9:14" ht="15.75" customHeight="1" x14ac:dyDescent="0.15">
      <c r="I1104" s="1"/>
      <c r="J1104" s="1"/>
      <c r="K1104" s="1"/>
      <c r="L1104" s="1"/>
      <c r="M1104" s="1"/>
      <c r="N1104" s="1"/>
    </row>
    <row r="1105" spans="9:14" ht="15.75" customHeight="1" x14ac:dyDescent="0.15">
      <c r="I1105" s="1"/>
      <c r="J1105" s="1"/>
      <c r="K1105" s="1"/>
      <c r="L1105" s="1"/>
      <c r="M1105" s="1"/>
      <c r="N1105" s="1"/>
    </row>
    <row r="1106" spans="9:14" ht="15.75" customHeight="1" x14ac:dyDescent="0.15">
      <c r="I1106" s="1"/>
      <c r="J1106" s="1"/>
      <c r="K1106" s="1"/>
      <c r="L1106" s="1"/>
      <c r="M1106" s="1"/>
      <c r="N1106" s="1"/>
    </row>
    <row r="1107" spans="9:14" ht="15.75" customHeight="1" x14ac:dyDescent="0.15">
      <c r="I1107" s="1"/>
      <c r="J1107" s="1"/>
      <c r="K1107" s="1"/>
      <c r="L1107" s="1"/>
      <c r="M1107" s="1"/>
      <c r="N1107" s="1"/>
    </row>
    <row r="1108" spans="9:14" ht="15.75" customHeight="1" x14ac:dyDescent="0.15">
      <c r="I1108" s="1"/>
      <c r="J1108" s="1"/>
      <c r="K1108" s="1"/>
      <c r="L1108" s="1"/>
      <c r="M1108" s="1"/>
      <c r="N1108" s="1"/>
    </row>
    <row r="1109" spans="9:14" ht="15.75" customHeight="1" x14ac:dyDescent="0.15">
      <c r="I1109" s="1"/>
      <c r="J1109" s="1"/>
      <c r="K1109" s="1"/>
      <c r="L1109" s="1"/>
      <c r="M1109" s="1"/>
      <c r="N1109" s="1"/>
    </row>
    <row r="1110" spans="9:14" ht="15.75" customHeight="1" x14ac:dyDescent="0.15">
      <c r="I1110" s="1"/>
      <c r="J1110" s="1"/>
      <c r="K1110" s="1"/>
      <c r="L1110" s="1"/>
      <c r="M1110" s="1"/>
      <c r="N1110" s="1"/>
    </row>
    <row r="1111" spans="9:14" ht="15.75" customHeight="1" x14ac:dyDescent="0.15">
      <c r="I1111" s="1"/>
      <c r="J1111" s="1"/>
      <c r="K1111" s="1"/>
      <c r="L1111" s="1"/>
      <c r="M1111" s="1"/>
      <c r="N1111" s="1"/>
    </row>
    <row r="1112" spans="9:14" ht="15.75" customHeight="1" x14ac:dyDescent="0.15">
      <c r="I1112" s="1"/>
      <c r="J1112" s="1"/>
      <c r="K1112" s="1"/>
      <c r="L1112" s="1"/>
      <c r="M1112" s="1"/>
      <c r="N1112" s="1"/>
    </row>
    <row r="1113" spans="9:14" ht="15.75" customHeight="1" x14ac:dyDescent="0.15">
      <c r="I1113" s="1"/>
      <c r="J1113" s="1"/>
      <c r="K1113" s="1"/>
      <c r="L1113" s="1"/>
      <c r="M1113" s="1"/>
      <c r="N1113" s="1"/>
    </row>
    <row r="1114" spans="9:14" ht="15.75" customHeight="1" x14ac:dyDescent="0.15">
      <c r="I1114" s="1"/>
      <c r="J1114" s="1"/>
      <c r="K1114" s="1"/>
      <c r="L1114" s="1"/>
      <c r="M1114" s="1"/>
      <c r="N1114" s="1"/>
    </row>
    <row r="1115" spans="9:14" ht="15.75" customHeight="1" x14ac:dyDescent="0.15">
      <c r="I1115" s="1"/>
      <c r="J1115" s="1"/>
      <c r="K1115" s="1"/>
      <c r="L1115" s="1"/>
      <c r="M1115" s="1"/>
      <c r="N1115" s="1"/>
    </row>
    <row r="1116" spans="9:14" ht="15.75" customHeight="1" x14ac:dyDescent="0.15">
      <c r="I1116" s="1"/>
      <c r="J1116" s="1"/>
      <c r="K1116" s="1"/>
      <c r="L1116" s="1"/>
      <c r="M1116" s="1"/>
      <c r="N1116" s="1"/>
    </row>
    <row r="1117" spans="9:14" ht="15.75" customHeight="1" x14ac:dyDescent="0.15">
      <c r="I1117" s="1"/>
      <c r="J1117" s="1"/>
      <c r="K1117" s="1"/>
      <c r="L1117" s="1"/>
      <c r="M1117" s="1"/>
      <c r="N1117" s="1"/>
    </row>
    <row r="1118" spans="9:14" ht="15.75" customHeight="1" x14ac:dyDescent="0.15">
      <c r="I1118" s="1"/>
      <c r="J1118" s="1"/>
      <c r="K1118" s="1"/>
      <c r="L1118" s="1"/>
      <c r="M1118" s="1"/>
      <c r="N1118" s="1"/>
    </row>
  </sheetData>
  <autoFilter ref="A1:N157" xr:uid="{00000000-0009-0000-0000-000000000000}">
    <sortState xmlns:xlrd2="http://schemas.microsoft.com/office/spreadsheetml/2017/richdata2" ref="A2:N167">
      <sortCondition ref="G1:G167"/>
    </sortState>
  </autoFilter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9"/>
  <sheetViews>
    <sheetView workbookViewId="0">
      <selection activeCell="H44" sqref="H44"/>
    </sheetView>
  </sheetViews>
  <sheetFormatPr baseColWidth="10" defaultColWidth="12.6640625" defaultRowHeight="15" customHeight="1" x14ac:dyDescent="0.15"/>
  <sheetData>
    <row r="1" spans="1:2" ht="15" customHeight="1" x14ac:dyDescent="0.15">
      <c r="A1" s="14" t="s">
        <v>139</v>
      </c>
      <c r="B1" s="14" t="s">
        <v>140</v>
      </c>
    </row>
    <row r="2" spans="1:2" ht="15" customHeight="1" x14ac:dyDescent="0.15">
      <c r="A2" s="15" t="s">
        <v>126</v>
      </c>
      <c r="B2" s="1" t="s">
        <v>141</v>
      </c>
    </row>
    <row r="3" spans="1:2" ht="15" customHeight="1" x14ac:dyDescent="0.15">
      <c r="A3" s="15" t="s">
        <v>127</v>
      </c>
      <c r="B3" s="1" t="s">
        <v>142</v>
      </c>
    </row>
    <row r="4" spans="1:2" ht="15" customHeight="1" x14ac:dyDescent="0.15">
      <c r="A4" s="15" t="s">
        <v>128</v>
      </c>
      <c r="B4" s="1" t="s">
        <v>143</v>
      </c>
    </row>
    <row r="5" spans="1:2" ht="15" customHeight="1" x14ac:dyDescent="0.15">
      <c r="A5" s="15" t="s">
        <v>129</v>
      </c>
      <c r="B5" s="1" t="s">
        <v>144</v>
      </c>
    </row>
    <row r="6" spans="1:2" ht="15" customHeight="1" x14ac:dyDescent="0.15">
      <c r="A6" s="15" t="s">
        <v>130</v>
      </c>
      <c r="B6" s="1" t="s">
        <v>145</v>
      </c>
    </row>
    <row r="7" spans="1:2" ht="15" customHeight="1" x14ac:dyDescent="0.15">
      <c r="A7" s="15" t="s">
        <v>131</v>
      </c>
      <c r="B7" s="1" t="s">
        <v>146</v>
      </c>
    </row>
    <row r="8" spans="1:2" ht="15" customHeight="1" x14ac:dyDescent="0.15">
      <c r="A8" s="15" t="s">
        <v>132</v>
      </c>
      <c r="B8" s="1" t="s">
        <v>147</v>
      </c>
    </row>
    <row r="9" spans="1:2" ht="15" customHeight="1" x14ac:dyDescent="0.15">
      <c r="A9" s="15" t="s">
        <v>133</v>
      </c>
      <c r="B9" s="1" t="s">
        <v>148</v>
      </c>
    </row>
    <row r="10" spans="1:2" ht="15" customHeight="1" x14ac:dyDescent="0.15">
      <c r="A10" s="15" t="s">
        <v>134</v>
      </c>
      <c r="B10" s="1" t="s">
        <v>149</v>
      </c>
    </row>
    <row r="11" spans="1:2" ht="15" customHeight="1" x14ac:dyDescent="0.15">
      <c r="A11" s="15" t="s">
        <v>135</v>
      </c>
      <c r="B11" s="1" t="s">
        <v>150</v>
      </c>
    </row>
    <row r="12" spans="1:2" ht="15" customHeight="1" x14ac:dyDescent="0.15">
      <c r="A12" s="15" t="s">
        <v>136</v>
      </c>
      <c r="B12" s="1" t="s">
        <v>151</v>
      </c>
    </row>
    <row r="13" spans="1:2" ht="15" customHeight="1" x14ac:dyDescent="0.15">
      <c r="A13" s="15" t="s">
        <v>137</v>
      </c>
      <c r="B13" s="1" t="s">
        <v>152</v>
      </c>
    </row>
    <row r="14" spans="1:2" ht="15" customHeight="1" x14ac:dyDescent="0.15">
      <c r="A14" s="15" t="s">
        <v>138</v>
      </c>
      <c r="B14" s="1" t="s">
        <v>153</v>
      </c>
    </row>
    <row r="15" spans="1:2" ht="15" customHeight="1" x14ac:dyDescent="0.15">
      <c r="A15" s="16" t="s">
        <v>154</v>
      </c>
      <c r="B15" s="1" t="s">
        <v>155</v>
      </c>
    </row>
    <row r="16" spans="1:2" ht="15" customHeight="1" x14ac:dyDescent="0.15">
      <c r="A16" s="15" t="s">
        <v>102</v>
      </c>
      <c r="B16" s="1" t="s">
        <v>156</v>
      </c>
    </row>
    <row r="17" spans="1:2" ht="15" customHeight="1" x14ac:dyDescent="0.15">
      <c r="A17" s="15" t="s">
        <v>85</v>
      </c>
      <c r="B17" s="1" t="s">
        <v>157</v>
      </c>
    </row>
    <row r="18" spans="1:2" ht="15" customHeight="1" x14ac:dyDescent="0.15">
      <c r="A18" s="15" t="s">
        <v>38</v>
      </c>
      <c r="B18" s="1" t="s">
        <v>158</v>
      </c>
    </row>
    <row r="19" spans="1:2" ht="15" customHeight="1" x14ac:dyDescent="0.15">
      <c r="A19" s="15" t="s">
        <v>14</v>
      </c>
      <c r="B19" s="1" t="s">
        <v>159</v>
      </c>
    </row>
    <row r="20" spans="1:2" ht="15" customHeight="1" x14ac:dyDescent="0.15">
      <c r="A20" s="15" t="s">
        <v>11</v>
      </c>
      <c r="B20" s="1" t="s">
        <v>160</v>
      </c>
    </row>
    <row r="21" spans="1:2" ht="15" customHeight="1" x14ac:dyDescent="0.15">
      <c r="A21" s="15" t="s">
        <v>56</v>
      </c>
      <c r="B21" s="1" t="s">
        <v>161</v>
      </c>
    </row>
    <row r="22" spans="1:2" ht="15" customHeight="1" x14ac:dyDescent="0.15">
      <c r="A22" s="15" t="s">
        <v>162</v>
      </c>
      <c r="B22" s="1" t="s">
        <v>163</v>
      </c>
    </row>
    <row r="23" spans="1:2" ht="15" customHeight="1" x14ac:dyDescent="0.15">
      <c r="A23" s="15" t="s">
        <v>20</v>
      </c>
      <c r="B23" s="1" t="s">
        <v>164</v>
      </c>
    </row>
    <row r="24" spans="1:2" ht="15" customHeight="1" x14ac:dyDescent="0.15">
      <c r="A24" s="15" t="s">
        <v>71</v>
      </c>
      <c r="B24" s="1" t="s">
        <v>165</v>
      </c>
    </row>
    <row r="25" spans="1:2" ht="15" customHeight="1" x14ac:dyDescent="0.15">
      <c r="A25" s="15" t="s">
        <v>120</v>
      </c>
      <c r="B25" s="1" t="s">
        <v>166</v>
      </c>
    </row>
    <row r="26" spans="1:2" ht="15" customHeight="1" x14ac:dyDescent="0.15">
      <c r="A26" s="15" t="s">
        <v>111</v>
      </c>
      <c r="B26" s="1" t="s">
        <v>167</v>
      </c>
    </row>
    <row r="27" spans="1:2" ht="15" customHeight="1" x14ac:dyDescent="0.15">
      <c r="A27" s="15" t="s">
        <v>47</v>
      </c>
      <c r="B27" s="1" t="s">
        <v>168</v>
      </c>
    </row>
    <row r="28" spans="1:2" ht="15" customHeight="1" x14ac:dyDescent="0.15">
      <c r="A28" s="15" t="s">
        <v>50</v>
      </c>
      <c r="B28" s="1" t="s">
        <v>169</v>
      </c>
    </row>
    <row r="29" spans="1:2" ht="15" customHeight="1" x14ac:dyDescent="0.15">
      <c r="A29" s="15" t="s">
        <v>59</v>
      </c>
      <c r="B29" s="1" t="s">
        <v>170</v>
      </c>
    </row>
    <row r="30" spans="1:2" ht="15" customHeight="1" x14ac:dyDescent="0.15">
      <c r="A30" s="15" t="s">
        <v>108</v>
      </c>
      <c r="B30" s="1" t="s">
        <v>171</v>
      </c>
    </row>
    <row r="31" spans="1:2" ht="15" customHeight="1" x14ac:dyDescent="0.15">
      <c r="A31" s="15" t="s">
        <v>172</v>
      </c>
      <c r="B31" s="1" t="s">
        <v>173</v>
      </c>
    </row>
    <row r="32" spans="1:2" ht="15" customHeight="1" x14ac:dyDescent="0.15">
      <c r="A32" s="15" t="s">
        <v>74</v>
      </c>
      <c r="B32" s="1" t="s">
        <v>174</v>
      </c>
    </row>
    <row r="33" spans="1:2" ht="15" customHeight="1" x14ac:dyDescent="0.15">
      <c r="A33" s="15" t="s">
        <v>114</v>
      </c>
      <c r="B33" s="1" t="s">
        <v>175</v>
      </c>
    </row>
    <row r="34" spans="1:2" ht="15" customHeight="1" x14ac:dyDescent="0.15">
      <c r="A34" s="15" t="s">
        <v>26</v>
      </c>
      <c r="B34" s="1" t="s">
        <v>176</v>
      </c>
    </row>
    <row r="35" spans="1:2" ht="15" customHeight="1" x14ac:dyDescent="0.15">
      <c r="A35" s="15" t="s">
        <v>96</v>
      </c>
      <c r="B35" s="1" t="s">
        <v>177</v>
      </c>
    </row>
    <row r="36" spans="1:2" ht="15" customHeight="1" x14ac:dyDescent="0.15">
      <c r="A36" s="15" t="s">
        <v>178</v>
      </c>
      <c r="B36" s="1" t="s">
        <v>179</v>
      </c>
    </row>
    <row r="37" spans="1:2" ht="15" customHeight="1" x14ac:dyDescent="0.15">
      <c r="A37" s="15" t="s">
        <v>180</v>
      </c>
      <c r="B37" s="1" t="s">
        <v>181</v>
      </c>
    </row>
    <row r="38" spans="1:2" ht="15" customHeight="1" x14ac:dyDescent="0.15">
      <c r="A38" s="15" t="s">
        <v>17</v>
      </c>
      <c r="B38" s="1" t="s">
        <v>182</v>
      </c>
    </row>
    <row r="39" spans="1:2" ht="15" customHeight="1" x14ac:dyDescent="0.15">
      <c r="A39" s="15" t="s">
        <v>105</v>
      </c>
      <c r="B39" s="1" t="s">
        <v>183</v>
      </c>
    </row>
    <row r="40" spans="1:2" ht="15" customHeight="1" x14ac:dyDescent="0.15">
      <c r="A40" s="15" t="s">
        <v>184</v>
      </c>
      <c r="B40" s="1" t="s">
        <v>185</v>
      </c>
    </row>
    <row r="41" spans="1:2" ht="15" customHeight="1" x14ac:dyDescent="0.15">
      <c r="A41" s="15" t="s">
        <v>123</v>
      </c>
      <c r="B41" s="1" t="s">
        <v>186</v>
      </c>
    </row>
    <row r="42" spans="1:2" ht="15" customHeight="1" x14ac:dyDescent="0.15">
      <c r="A42" s="15" t="s">
        <v>29</v>
      </c>
      <c r="B42" s="1" t="s">
        <v>187</v>
      </c>
    </row>
    <row r="43" spans="1:2" ht="15" customHeight="1" x14ac:dyDescent="0.15">
      <c r="A43" s="15" t="s">
        <v>117</v>
      </c>
      <c r="B43" s="1" t="s">
        <v>188</v>
      </c>
    </row>
    <row r="44" spans="1:2" ht="15" customHeight="1" x14ac:dyDescent="0.15">
      <c r="A44" s="15" t="s">
        <v>23</v>
      </c>
      <c r="B44" s="1" t="s">
        <v>189</v>
      </c>
    </row>
    <row r="45" spans="1:2" ht="15" customHeight="1" x14ac:dyDescent="0.15">
      <c r="A45" s="15" t="s">
        <v>190</v>
      </c>
      <c r="B45" s="1" t="s">
        <v>191</v>
      </c>
    </row>
    <row r="46" spans="1:2" ht="15" customHeight="1" x14ac:dyDescent="0.15">
      <c r="A46" s="15" t="s">
        <v>53</v>
      </c>
      <c r="B46" s="1" t="s">
        <v>192</v>
      </c>
    </row>
    <row r="47" spans="1:2" ht="15" customHeight="1" x14ac:dyDescent="0.15">
      <c r="A47" s="15" t="s">
        <v>93</v>
      </c>
      <c r="B47" s="1" t="s">
        <v>193</v>
      </c>
    </row>
    <row r="48" spans="1:2" ht="15" customHeight="1" x14ac:dyDescent="0.15">
      <c r="A48" s="15" t="s">
        <v>62</v>
      </c>
      <c r="B48" s="1" t="s">
        <v>194</v>
      </c>
    </row>
    <row r="49" spans="1:2" ht="15" customHeight="1" x14ac:dyDescent="0.15">
      <c r="A49" s="15" t="s">
        <v>68</v>
      </c>
      <c r="B49" s="1" t="s">
        <v>195</v>
      </c>
    </row>
    <row r="50" spans="1:2" ht="15" customHeight="1" x14ac:dyDescent="0.15">
      <c r="A50" s="15" t="s">
        <v>35</v>
      </c>
      <c r="B50" s="1" t="s">
        <v>196</v>
      </c>
    </row>
    <row r="51" spans="1:2" ht="14" x14ac:dyDescent="0.15">
      <c r="A51" s="15" t="s">
        <v>90</v>
      </c>
      <c r="B51" s="1" t="s">
        <v>197</v>
      </c>
    </row>
    <row r="52" spans="1:2" ht="14" x14ac:dyDescent="0.15">
      <c r="A52" s="15" t="s">
        <v>198</v>
      </c>
      <c r="B52" s="1" t="s">
        <v>199</v>
      </c>
    </row>
    <row r="53" spans="1:2" ht="14" x14ac:dyDescent="0.15">
      <c r="A53" s="15" t="s">
        <v>82</v>
      </c>
      <c r="B53" s="1" t="s">
        <v>200</v>
      </c>
    </row>
    <row r="54" spans="1:2" ht="14" x14ac:dyDescent="0.15">
      <c r="A54" s="15" t="s">
        <v>65</v>
      </c>
      <c r="B54" s="1" t="s">
        <v>201</v>
      </c>
    </row>
    <row r="55" spans="1:2" ht="14" x14ac:dyDescent="0.15">
      <c r="A55" s="15" t="s">
        <v>79</v>
      </c>
      <c r="B55" s="1" t="s">
        <v>202</v>
      </c>
    </row>
    <row r="56" spans="1:2" ht="14" x14ac:dyDescent="0.15">
      <c r="A56" s="15" t="s">
        <v>99</v>
      </c>
      <c r="B56" s="1" t="s">
        <v>203</v>
      </c>
    </row>
    <row r="57" spans="1:2" ht="14" x14ac:dyDescent="0.15">
      <c r="A57" s="15" t="s">
        <v>44</v>
      </c>
      <c r="B57" s="1" t="s">
        <v>204</v>
      </c>
    </row>
    <row r="58" spans="1:2" ht="14" x14ac:dyDescent="0.15">
      <c r="A58" s="15" t="s">
        <v>32</v>
      </c>
      <c r="B58" s="1" t="s">
        <v>205</v>
      </c>
    </row>
    <row r="59" spans="1:2" ht="14" x14ac:dyDescent="0.15">
      <c r="A59" s="15" t="s">
        <v>41</v>
      </c>
      <c r="B59" s="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2024bg</vt:lpstr>
      <vt:lpstr>2024sm</vt:lpstr>
      <vt:lpstr>Data</vt:lpstr>
      <vt:lpstr>Site Name Acronyms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Emmerson Wilson</cp:lastModifiedBy>
  <dcterms:created xsi:type="dcterms:W3CDTF">2026-02-27T18:59:17Z</dcterms:created>
  <dcterms:modified xsi:type="dcterms:W3CDTF">2026-03-09T17:42:55Z</dcterms:modified>
</cp:coreProperties>
</file>