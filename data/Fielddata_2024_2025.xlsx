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emmersonEmmerson/Documents/Master's/Work feb 2025/NL_watersheds/data/"/>
    </mc:Choice>
  </mc:AlternateContent>
  <xr:revisionPtr revIDLastSave="0" documentId="13_ncr:1_{6A871C16-49DB-2C4C-AB5A-5C3387E8C33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Invertebrate and periphyton" sheetId="1" r:id="rId1"/>
    <sheet name="Juvenile fish 2025" sheetId="2" r:id="rId2"/>
    <sheet name="Temperature" sheetId="3" r:id="rId3"/>
    <sheet name="Site Name Acronyms" sheetId="4" r:id="rId4"/>
  </sheets>
  <definedNames>
    <definedName name="_xlnm._FilterDatabase" localSheetId="0" hidden="1">'Invertebrate and periphyton'!$A$1:$J$59</definedName>
    <definedName name="_xlnm._FilterDatabase" localSheetId="2" hidden="1">Temperature!$A$1:$G$283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2" i="2"/>
  <c r="R3" i="2"/>
  <c r="R4" i="2"/>
  <c r="R5" i="2"/>
  <c r="R6" i="2"/>
  <c r="R7" i="2"/>
  <c r="R8" i="2"/>
  <c r="R9" i="2"/>
  <c r="R10" i="2"/>
  <c r="R11" i="2"/>
  <c r="R12" i="2"/>
  <c r="R13" i="2"/>
  <c r="R14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2" i="2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1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J3" i="3"/>
  <c r="J2" i="3"/>
  <c r="J1" i="3"/>
</calcChain>
</file>

<file path=xl/sharedStrings.xml><?xml version="1.0" encoding="utf-8"?>
<sst xmlns="http://schemas.openxmlformats.org/spreadsheetml/2006/main" count="1009" uniqueCount="310">
  <si>
    <t>Site ID</t>
  </si>
  <si>
    <t>Date</t>
  </si>
  <si>
    <t>Location Downstream</t>
  </si>
  <si>
    <t>Location Upstream</t>
  </si>
  <si>
    <t>Estimated total invertebrate density (inverts/m2)</t>
  </si>
  <si>
    <t>Estimated EPT invertebrate density (inverts/m2)</t>
  </si>
  <si>
    <t>Periphyton_biomass, represented by site average Chlorophyll 𝑎 (μg/cm² rock coverage)</t>
  </si>
  <si>
    <t>GWB</t>
  </si>
  <si>
    <t>N48.91701 W055.64848</t>
  </si>
  <si>
    <t>N48.91655 W055.64888</t>
  </si>
  <si>
    <t>TJB</t>
  </si>
  <si>
    <t>N48.89357 W056.01231</t>
  </si>
  <si>
    <t>N48.893270 W056.013650</t>
  </si>
  <si>
    <t>NPB-PW</t>
  </si>
  <si>
    <t>N48.75180 W056.23413</t>
  </si>
  <si>
    <t>N48.75145 W056.23388</t>
  </si>
  <si>
    <t>JPB</t>
  </si>
  <si>
    <t>N48.98091 W055.38828</t>
  </si>
  <si>
    <t>N48.98050 W055.38767</t>
  </si>
  <si>
    <t>GRB-IS</t>
  </si>
  <si>
    <t>N48.90750 W055.55503</t>
  </si>
  <si>
    <t>N48.90776 W055.55571</t>
  </si>
  <si>
    <t>GRB-RP</t>
  </si>
  <si>
    <t>N48.74886 W055.52757</t>
  </si>
  <si>
    <t>N48.74799 W055.527226</t>
  </si>
  <si>
    <t>BUJ</t>
  </si>
  <si>
    <t>N48.84579 W056.47289</t>
  </si>
  <si>
    <t>N48.84465 W056.47173</t>
  </si>
  <si>
    <t>SLT-1</t>
  </si>
  <si>
    <t>N48.68256 W056.95130</t>
  </si>
  <si>
    <t>N48.68341 W056.95143</t>
  </si>
  <si>
    <t>HRP</t>
  </si>
  <si>
    <t>N48.640141 W056.91361</t>
  </si>
  <si>
    <t>N48.63984 W056.91285</t>
  </si>
  <si>
    <t>JUR</t>
  </si>
  <si>
    <t>N48.97447 W056.01804</t>
  </si>
  <si>
    <t>N48.97482 W056.01755</t>
  </si>
  <si>
    <t>GRB-CL</t>
  </si>
  <si>
    <t>N48.94477 W055.50529</t>
  </si>
  <si>
    <t>N48.94574 W055.50520</t>
  </si>
  <si>
    <t>BPB</t>
  </si>
  <si>
    <t>N48.75338 W056.59022</t>
  </si>
  <si>
    <t>N48.75265 W056.59016</t>
  </si>
  <si>
    <t>GRB-TB</t>
  </si>
  <si>
    <t>N48.87520 W055.48917</t>
  </si>
  <si>
    <t>N48.87584 W055.48901</t>
  </si>
  <si>
    <t>NAB-NB-1</t>
  </si>
  <si>
    <t>N 49.08780, W 55.58949</t>
  </si>
  <si>
    <t>N 49.08813, W 55.59076</t>
  </si>
  <si>
    <t>VTR-HW-1</t>
  </si>
  <si>
    <t>N 48.46088, W 56.79710</t>
  </si>
  <si>
    <t>N 48.46024, W 56.79755</t>
  </si>
  <si>
    <t>NPB-CB-1</t>
  </si>
  <si>
    <t>N 48.61591,W 56.34280</t>
  </si>
  <si>
    <t>N 48.61523, W 56.34299</t>
  </si>
  <si>
    <t>NPB-TP-3</t>
  </si>
  <si>
    <t>N 48.65636, W 56.19398</t>
  </si>
  <si>
    <t>N 48.65672, W 56.19354</t>
  </si>
  <si>
    <t>JPB-JB-1</t>
  </si>
  <si>
    <t>N 49.02197, W 55.39803</t>
  </si>
  <si>
    <t>N 49.02148, W 55.39841</t>
  </si>
  <si>
    <t>GWB-GW-1</t>
  </si>
  <si>
    <t>N 48.91798, W 55.64824</t>
  </si>
  <si>
    <t>N 48.91731, W 55.64837</t>
  </si>
  <si>
    <t>PHB-PH-1</t>
  </si>
  <si>
    <t>N 48.94168, W 56.04303</t>
  </si>
  <si>
    <t>N 48.94124, W 56.04375</t>
  </si>
  <si>
    <t>NBR-MR-1</t>
  </si>
  <si>
    <t>N 49.24865, W 55.40392</t>
  </si>
  <si>
    <t>N 49.24845, W 55.40518</t>
  </si>
  <si>
    <t>GRB-TH-1</t>
  </si>
  <si>
    <t>N 48.91158, W 55.53745</t>
  </si>
  <si>
    <t>N 48.91119, W 55.53818</t>
  </si>
  <si>
    <t>GRB-TB-3</t>
  </si>
  <si>
    <t>N 48.81880, W 55.48946</t>
  </si>
  <si>
    <t>N 48.81928, W 55.48830</t>
  </si>
  <si>
    <t>BTL-BP-1</t>
  </si>
  <si>
    <t>N 48.74133, W 56.59879</t>
  </si>
  <si>
    <t>N 48.74096, W 56.59937</t>
  </si>
  <si>
    <t>SNB-US-1</t>
  </si>
  <si>
    <t>N 48.81558, W 55.75333</t>
  </si>
  <si>
    <t>N 48.81482, W 55.75401</t>
  </si>
  <si>
    <t>GRB-HL-4</t>
  </si>
  <si>
    <t>N 48.77488, W 55.49938</t>
  </si>
  <si>
    <t>N 48.77399, W 55.49959</t>
  </si>
  <si>
    <t>SNB-WS-1</t>
  </si>
  <si>
    <t>N 48.85054, W 55.78043</t>
  </si>
  <si>
    <t>N 48.85021, W 55.78121</t>
  </si>
  <si>
    <t>MCB-MB-1</t>
  </si>
  <si>
    <t>N 48.76766, W 56.38787</t>
  </si>
  <si>
    <t>N 48.76747, W 56.38759</t>
  </si>
  <si>
    <t>SPB-SP-1</t>
  </si>
  <si>
    <t>N 48.73885, W 56.92947</t>
  </si>
  <si>
    <t>N 48.73891, W 56.93018</t>
  </si>
  <si>
    <t>MPB-MP-1</t>
  </si>
  <si>
    <t>N 49.40464, W 55.47958</t>
  </si>
  <si>
    <t>N 49.40417, W 55.47977</t>
  </si>
  <si>
    <t>LRB-LT-1</t>
  </si>
  <si>
    <t>N 48.92211, W 55.61086</t>
  </si>
  <si>
    <t>N 48.92155, W 55.61128</t>
  </si>
  <si>
    <t>HPB-EP-1</t>
  </si>
  <si>
    <t>N 48.68157, W 56.51104</t>
  </si>
  <si>
    <t>N 48.68184, W 56.51056</t>
  </si>
  <si>
    <t>MRM-JG-1</t>
  </si>
  <si>
    <t>N 48.86467, W 56.44006</t>
  </si>
  <si>
    <t>N 48.86519, W 56.43868</t>
  </si>
  <si>
    <t>BCB-BC-2</t>
  </si>
  <si>
    <t>N 48.85604, W 56.82196</t>
  </si>
  <si>
    <t>N 48.85777, W 56.82185</t>
  </si>
  <si>
    <t>CHB-CB-1</t>
  </si>
  <si>
    <t>N 49.34162, W 55.25319</t>
  </si>
  <si>
    <t>N 49.34121, W 55.25380</t>
  </si>
  <si>
    <t>WAB-WB-1</t>
  </si>
  <si>
    <t>N 49.34763, W 55.46670</t>
  </si>
  <si>
    <t>N 49.34749, W 55.46791</t>
  </si>
  <si>
    <t>BGB-RK-1</t>
  </si>
  <si>
    <t>N 49.06106, W 56.10947</t>
  </si>
  <si>
    <t>N 49.06115, W 56.11103</t>
  </si>
  <si>
    <t>GRB-PL-1</t>
  </si>
  <si>
    <t>N 48.70595, W 55.63019</t>
  </si>
  <si>
    <t>N 48.70641, W 55.63074</t>
  </si>
  <si>
    <t>NPB-PW-1</t>
  </si>
  <si>
    <t>N 48.74871, W 56.24922</t>
  </si>
  <si>
    <t>N 48.74900, W 56.24856</t>
  </si>
  <si>
    <t>SDY-SB-1</t>
  </si>
  <si>
    <t>N 48.91359, W 55.79738</t>
  </si>
  <si>
    <t>N 48.91284, W 55.79810</t>
  </si>
  <si>
    <t>GRB-RP-2</t>
  </si>
  <si>
    <t>N 48.74380, W 55.52758</t>
  </si>
  <si>
    <t>N 48.74296, W 55.52735</t>
  </si>
  <si>
    <t>HPB-HP-3</t>
  </si>
  <si>
    <t>N 48.60475, W 56.63340</t>
  </si>
  <si>
    <t>N 48.60433, W 56.63440</t>
  </si>
  <si>
    <t>LRI-LR-1</t>
  </si>
  <si>
    <t>N 48.92064, W 56.18985</t>
  </si>
  <si>
    <t>N 48.92012, W 56.19001</t>
  </si>
  <si>
    <t>LYR-LY-3</t>
  </si>
  <si>
    <t>N 48.39377, W 57.47034</t>
  </si>
  <si>
    <t>N 48.39334, W 57.46984</t>
  </si>
  <si>
    <t>BGB-MA-2</t>
  </si>
  <si>
    <t>N 49.07740, W 55.99052</t>
  </si>
  <si>
    <t>N 49.07818, W 55.98991</t>
  </si>
  <si>
    <t>TKB-TK-1</t>
  </si>
  <si>
    <t>N 48.54182, W 57.17826</t>
  </si>
  <si>
    <t>N 48.54099, W 57.17885</t>
  </si>
  <si>
    <t>NPB-SW-1</t>
  </si>
  <si>
    <t>N 48.41282, W 56.73870</t>
  </si>
  <si>
    <t>N 48.41224. W 56.73853</t>
  </si>
  <si>
    <t>WLB-WL-1</t>
  </si>
  <si>
    <t>N 48.77073, W 56.86468</t>
  </si>
  <si>
    <t>N 48.77128, W 56.86586</t>
  </si>
  <si>
    <t>HPB-SS-1</t>
  </si>
  <si>
    <t>N 48.61349, W 56.63420</t>
  </si>
  <si>
    <t>N 48.61371, W 56.63494</t>
  </si>
  <si>
    <t>LYR-LY-1</t>
  </si>
  <si>
    <t>N 48.46025, W 57.43190</t>
  </si>
  <si>
    <t>N 48.46067, W 57.43143</t>
  </si>
  <si>
    <t>PTR-PR-1</t>
  </si>
  <si>
    <t>N 49.01941, W 55.58054</t>
  </si>
  <si>
    <t>N 49.01959, W 55.58184</t>
  </si>
  <si>
    <t>VTR-VR-2</t>
  </si>
  <si>
    <t>N 48.42519, W 57.07986</t>
  </si>
  <si>
    <t>N 48.42500, W 57.08096</t>
  </si>
  <si>
    <t>CGB-CG-1</t>
  </si>
  <si>
    <t>N 48.55573, W 57.12020</t>
  </si>
  <si>
    <t>N 48.55548, W 57.11979</t>
  </si>
  <si>
    <t>GRB-BB-1</t>
  </si>
  <si>
    <t>N 48.63305, W 55.73506</t>
  </si>
  <si>
    <t>N 48.63250, W 55.73509</t>
  </si>
  <si>
    <t>BCB-BC-1</t>
  </si>
  <si>
    <t>N 48.84623, W 56.78580</t>
  </si>
  <si>
    <t>N 48.84710, W 56.78572</t>
  </si>
  <si>
    <t>LSB-LS-2</t>
  </si>
  <si>
    <t>N 48.80797, W 56.69196</t>
  </si>
  <si>
    <t>N 48.80870, W 56.69218</t>
  </si>
  <si>
    <t>TJB-TJ-1</t>
  </si>
  <si>
    <t>N 48.92785, W 55.95797</t>
  </si>
  <si>
    <t>N 48.92738, W 55.95863</t>
  </si>
  <si>
    <t>HBB-HB-1</t>
  </si>
  <si>
    <t>N 48.68567, W 56.87863</t>
  </si>
  <si>
    <t>N 48.68560, W 56.87787</t>
  </si>
  <si>
    <t>Par in pass 1</t>
  </si>
  <si>
    <t>Par in pass 2</t>
  </si>
  <si>
    <t>Par in pass 3</t>
  </si>
  <si>
    <t>Par in pass 4</t>
  </si>
  <si>
    <t>Par in pass 5</t>
  </si>
  <si>
    <t>Fry pass 1</t>
  </si>
  <si>
    <t>Fry pass 2</t>
  </si>
  <si>
    <t>Fry pass 3</t>
  </si>
  <si>
    <t>Fry pass 4</t>
  </si>
  <si>
    <t>Fry Pass 5</t>
  </si>
  <si>
    <t>-</t>
  </si>
  <si>
    <t>Location</t>
  </si>
  <si>
    <t>Coordinates</t>
  </si>
  <si>
    <t>month</t>
  </si>
  <si>
    <t>year</t>
  </si>
  <si>
    <t>mean_t</t>
  </si>
  <si>
    <t>max_t</t>
  </si>
  <si>
    <t>min_t</t>
  </si>
  <si>
    <t>April Average</t>
  </si>
  <si>
    <t>Little Red Indian Trib 1</t>
  </si>
  <si>
    <t>48.91764, -56.19112</t>
  </si>
  <si>
    <t>May Average</t>
  </si>
  <si>
    <t>June Average</t>
  </si>
  <si>
    <t>AVERAGE of min_t</t>
  </si>
  <si>
    <t>AVERAGE of max_t</t>
  </si>
  <si>
    <t>AVERAGE of mean_t</t>
  </si>
  <si>
    <t>Beaver Brook</t>
  </si>
  <si>
    <t>Costigan Brook</t>
  </si>
  <si>
    <t>Haynes Lake</t>
  </si>
  <si>
    <t>Healeys Bay Brook</t>
  </si>
  <si>
    <t>Joe Glodes River</t>
  </si>
  <si>
    <t>Little Rattling Brook</t>
  </si>
  <si>
    <t>Little Sandy Brook 2</t>
  </si>
  <si>
    <t>Lloyd's River Trib 1</t>
  </si>
  <si>
    <t>48.77064, -55.50112</t>
  </si>
  <si>
    <t>Mary Ann Brook</t>
  </si>
  <si>
    <t>Michaels Brook</t>
  </si>
  <si>
    <t>Pamehac Brook</t>
  </si>
  <si>
    <t>Paradise Lake Brook</t>
  </si>
  <si>
    <t>Point of Woods 1</t>
  </si>
  <si>
    <t>South Steady</t>
  </si>
  <si>
    <t>Three Brooks Trib</t>
  </si>
  <si>
    <t>Trappers Brook 1</t>
  </si>
  <si>
    <t>Upper Stoney</t>
  </si>
  <si>
    <t>Wileys Brook A</t>
  </si>
  <si>
    <t>Grand Total</t>
  </si>
  <si>
    <t>48.68561, -56.87919</t>
  </si>
  <si>
    <t>48.92259, -55.61033</t>
  </si>
  <si>
    <t>48.80189, -56.69339</t>
  </si>
  <si>
    <t>48.46014, -57.43195</t>
  </si>
  <si>
    <t>48.76747, -56.38766</t>
  </si>
  <si>
    <t>48.70576, -55.62967</t>
  </si>
  <si>
    <t>48.74851, -56.24986</t>
  </si>
  <si>
    <t>48.66565, -56.18111</t>
  </si>
  <si>
    <t>48.77168, -56.86634</t>
  </si>
  <si>
    <t>48.63144, -55.73321</t>
  </si>
  <si>
    <t>48.86641, -56.43228</t>
  </si>
  <si>
    <t>49.07619, -55.99207</t>
  </si>
  <si>
    <t>48.61227, -56.63251</t>
  </si>
  <si>
    <t>48.90825, -55.54067</t>
  </si>
  <si>
    <t>48.55608, -57.12120</t>
  </si>
  <si>
    <t>48.94351, -56.04169</t>
  </si>
  <si>
    <t>48.85622, -55.73744</t>
  </si>
  <si>
    <t xml:space="preserve">Abbreviation </t>
  </si>
  <si>
    <t>Site Name</t>
  </si>
  <si>
    <t>Greenwoods Brook</t>
  </si>
  <si>
    <t>Tom Joe’s Brook</t>
  </si>
  <si>
    <t>Point of Woods Brook</t>
  </si>
  <si>
    <t>Jumpers Brook</t>
  </si>
  <si>
    <t>Island Pond Brook</t>
  </si>
  <si>
    <t>Rocky Pond Brook</t>
  </si>
  <si>
    <t>Buchans Junction Brook</t>
  </si>
  <si>
    <t>Skidder Lake Brook</t>
  </si>
  <si>
    <t>Harbour Rond Pond Brook</t>
  </si>
  <si>
    <t>Junction River</t>
  </si>
  <si>
    <t>Crooked Lake Pond Brook</t>
  </si>
  <si>
    <t>Burnt Pond Brook</t>
  </si>
  <si>
    <t>Tote Brook</t>
  </si>
  <si>
    <t>Northern Arm Brook</t>
  </si>
  <si>
    <t>Victoria River Half Way Brook 1</t>
  </si>
  <si>
    <t>Noel Paul Brook Carters Brook 1</t>
  </si>
  <si>
    <t>Noel Paul Brook Trappers Brook 3</t>
  </si>
  <si>
    <t>Jumpers Brook Jumpers Brook</t>
  </si>
  <si>
    <t>Green Woods Brook Green Woods</t>
  </si>
  <si>
    <t>Pamehoc Pamehoc 1</t>
  </si>
  <si>
    <t>New Bay River</t>
  </si>
  <si>
    <t>Great Rattling Brook Three Brooks Trib</t>
  </si>
  <si>
    <t>Great Rattling Brook Tote Brook Trib 3</t>
  </si>
  <si>
    <t>Beothuk Lake Burnt Pond Brook</t>
  </si>
  <si>
    <t>Stoney Brook Upper Stoney Brook</t>
  </si>
  <si>
    <t>Great Rattling Brook Haynes Lake</t>
  </si>
  <si>
    <t>Stoney Brook West Stoney Brook</t>
  </si>
  <si>
    <t>Michaels Brook Michaels Brook</t>
  </si>
  <si>
    <t>Skidder Pond Brook Skidder Pond Brook</t>
  </si>
  <si>
    <t>Mill Pond Brook</t>
  </si>
  <si>
    <t>Little Rattling Brook Little Rattling Brook</t>
  </si>
  <si>
    <t>Harpoon Brook East Pond Brook 1</t>
  </si>
  <si>
    <t>Mary March Joe Glodes 3</t>
  </si>
  <si>
    <t>Buchans Brook Buchans Brook Trib 2B</t>
  </si>
  <si>
    <t>Charles Brook</t>
  </si>
  <si>
    <t>Western Arm Brook</t>
  </si>
  <si>
    <t>Badger Brook Rocky Brook</t>
  </si>
  <si>
    <t>Great Rattling Brook Paradise Lake Brook</t>
  </si>
  <si>
    <t>Noel Paul Brook Point of Woods 1</t>
  </si>
  <si>
    <t>Sandy Brook</t>
  </si>
  <si>
    <t>Great Rattling Brook Rocky Pond Brook</t>
  </si>
  <si>
    <t>Harpoon Brook Harpoon Brook 5</t>
  </si>
  <si>
    <t>Little Red Indian Little Red Indian Trib 1</t>
  </si>
  <si>
    <t>Lloyds River Lloyds River Tributary 2A</t>
  </si>
  <si>
    <t>Badger Brook Mary Ann Brook 2</t>
  </si>
  <si>
    <t>Tulks Brook Tulks Brook A</t>
  </si>
  <si>
    <t xml:space="preserve">Noel Paul Brook Snowshoe Pond Brook 1 </t>
  </si>
  <si>
    <t>Wileys Brook Wileys Brook A</t>
  </si>
  <si>
    <t>Harpoon Brook South Steady</t>
  </si>
  <si>
    <t>Lloyds River Lloyds River Tributary 1</t>
  </si>
  <si>
    <t>Peters River</t>
  </si>
  <si>
    <t>Victoria River Victoria River Trib 1A</t>
  </si>
  <si>
    <t>Costigan Brook Costigan Brook</t>
  </si>
  <si>
    <t>Great Rattling Brook Beaver Brook</t>
  </si>
  <si>
    <t>Buchans Brook Buchans Brook Trib 1B</t>
  </si>
  <si>
    <t>Little Sandy Brook Little Sandy Brook 2</t>
  </si>
  <si>
    <t>Tom Joe Lower Tom Joe</t>
  </si>
  <si>
    <t>Healeys Bay Brook Healeys Bay Brook</t>
  </si>
  <si>
    <t/>
  </si>
  <si>
    <t>(blank)</t>
  </si>
  <si>
    <t>x</t>
  </si>
  <si>
    <t>y</t>
  </si>
  <si>
    <t>total caught parr population</t>
  </si>
  <si>
    <t>total caught fry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</si>
</sst>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mm/dd/yy"/>
    <numFmt numFmtId="166" formatCode="m/d/yy"/>
    <numFmt numFmtId="167" formatCode="mm/dd/yyyy"/>
  </numFmts>
  <fonts count="14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2"/>
      <color rgb="FF000000"/>
      <name val="Calibri"/>
    </font>
    <font>
      <sz val="10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right"/>
    </xf>
    <xf numFmtId="166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2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6" fillId="0" borderId="0" xfId="0" applyFont="1"/>
    <xf numFmtId="167" fontId="6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12" fillId="2" borderId="0" xfId="0" applyFont="1" applyFill="1" applyAlignment="1">
      <alignment horizontal="center"/>
    </xf>
    <xf numFmtId="0" fontId="11" fillId="0" borderId="0" xfId="0" applyFont="1"/>
    <xf numFmtId="167" fontId="11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right"/>
    </xf>
    <xf numFmtId="164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086.54079363426" refreshedVersion="8" recordCount="283" xr:uid="{00000000-000A-0000-FFFF-FFFF00000000}">
  <cacheSource type="worksheet">
    <worksheetSource ref="A1:G996" sheet="Temperature"/>
  </cacheSource>
  <cacheFields count="7">
    <cacheField name="Location" numFmtId="0">
      <sharedItems containsBlank="1" count="20">
        <s v="Little Red Indian Trib 1"/>
        <s v="Haynes Lake"/>
        <s v="Healeys Bay Brook"/>
        <s v="Little Rattling Brook"/>
        <s v="Little Sandy Brook 2"/>
        <s v="Lloyd's River Trib 1"/>
        <s v="Michaels Brook"/>
        <s v="Paradise Lake Brook"/>
        <s v="Point of Woods 1"/>
        <s v="Trappers Brook 1"/>
        <s v="Wileys Brook A"/>
        <s v="Beaver Brook"/>
        <s v="Joe Glodes River"/>
        <s v="Mary Ann Brook"/>
        <s v="South Steady"/>
        <s v="Three Brooks Trib"/>
        <s v="Costigan Brook"/>
        <s v="Pamehac Brook"/>
        <s v="Upper Stoney"/>
        <m/>
      </sharedItems>
    </cacheField>
    <cacheField name="Coordinates" numFmtId="0">
      <sharedItems containsBlank="1"/>
    </cacheField>
    <cacheField name="month" numFmtId="0">
      <sharedItems containsString="0" containsBlank="1" containsNumber="1" containsInteger="1" minValue="1" maxValue="12"/>
    </cacheField>
    <cacheField name="year" numFmtId="0">
      <sharedItems containsString="0" containsBlank="1" containsNumber="1" containsInteger="1" minValue="2024" maxValue="2025"/>
    </cacheField>
    <cacheField name="mean_t" numFmtId="0">
      <sharedItems containsString="0" containsBlank="1" containsNumber="1" minValue="0.01" maxValue="22.840201610000001"/>
    </cacheField>
    <cacheField name="max_t" numFmtId="0">
      <sharedItems containsString="0" containsBlank="1" containsNumber="1" minValue="0.01" maxValue="36.945999999999998"/>
    </cacheField>
    <cacheField name="min_t" numFmtId="0">
      <sharedItems containsString="0" containsBlank="1" containsNumber="1" minValue="-0.10199999999999999" maxValue="17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x v="0"/>
    <s v="48.91764, -56.19112"/>
    <n v="1"/>
    <n v="2025"/>
    <n v="0.57704301099999999"/>
    <n v="1.58"/>
    <n v="0.13"/>
  </r>
  <r>
    <x v="0"/>
    <s v="48.91764, -56.19112"/>
    <n v="2"/>
    <n v="2025"/>
    <n v="0.24272321399999999"/>
    <n v="0.38"/>
    <n v="0.17"/>
  </r>
  <r>
    <x v="0"/>
    <s v="48.91764, -56.19112"/>
    <n v="3"/>
    <n v="2025"/>
    <n v="1.238546433"/>
    <n v="4.12"/>
    <n v="0.13"/>
  </r>
  <r>
    <x v="0"/>
    <s v="48.91764, -56.19112"/>
    <n v="4"/>
    <n v="2025"/>
    <n v="3.9846249999999999"/>
    <n v="8.9600000000000009"/>
    <n v="0.13"/>
  </r>
  <r>
    <x v="0"/>
    <s v="48.91764, -56.19112"/>
    <n v="5"/>
    <n v="2025"/>
    <n v="11.37827957"/>
    <n v="22.39"/>
    <n v="4.93"/>
  </r>
  <r>
    <x v="0"/>
    <s v="48.91764, -56.19112"/>
    <n v="6"/>
    <n v="2024"/>
    <n v="18.857253889999999"/>
    <n v="28.95"/>
    <n v="10.85"/>
  </r>
  <r>
    <x v="0"/>
    <s v="48.91764, -56.19112"/>
    <n v="6"/>
    <n v="2025"/>
    <n v="17.822680559999998"/>
    <n v="24.19"/>
    <n v="12.18"/>
  </r>
  <r>
    <x v="0"/>
    <s v="48.91764, -56.19112"/>
    <n v="7"/>
    <n v="2024"/>
    <n v="22.840201610000001"/>
    <n v="29.94"/>
    <n v="16.39"/>
  </r>
  <r>
    <x v="0"/>
    <s v="48.91764, -56.19112"/>
    <n v="7"/>
    <n v="2025"/>
    <n v="21.353346770000002"/>
    <n v="29.56"/>
    <n v="13.34"/>
  </r>
  <r>
    <x v="0"/>
    <s v="48.91764, -56.19112"/>
    <n v="8"/>
    <n v="2024"/>
    <n v="20.637889779999998"/>
    <n v="28.14"/>
    <n v="13.6"/>
  </r>
  <r>
    <x v="0"/>
    <s v="48.91764, -56.19112"/>
    <n v="8"/>
    <n v="2025"/>
    <n v="20.721556419999999"/>
    <n v="26.38"/>
    <n v="14.93"/>
  </r>
  <r>
    <x v="0"/>
    <s v="48.91764, -56.19112"/>
    <n v="9"/>
    <n v="2024"/>
    <n v="16.249152779999999"/>
    <n v="24.02"/>
    <n v="10.85"/>
  </r>
  <r>
    <x v="0"/>
    <s v="48.91764, -56.19112"/>
    <n v="10"/>
    <n v="2024"/>
    <n v="8.8671102150000003"/>
    <n v="13.94"/>
    <n v="3.9"/>
  </r>
  <r>
    <x v="0"/>
    <s v="48.91764, -56.19112"/>
    <n v="11"/>
    <n v="2024"/>
    <n v="4.5217059639999997"/>
    <n v="7.33"/>
    <n v="1.24"/>
  </r>
  <r>
    <x v="0"/>
    <s v="48.91764, -56.19112"/>
    <n v="12"/>
    <n v="2024"/>
    <n v="0.80002688200000005"/>
    <n v="3.82"/>
    <n v="0.21"/>
  </r>
  <r>
    <x v="1"/>
    <s v="48.77064, -55.50112"/>
    <n v="1"/>
    <n v="2025"/>
    <n v="1.1465322579999999"/>
    <n v="1.93"/>
    <n v="0.34"/>
  </r>
  <r>
    <x v="1"/>
    <s v="48.77064, -55.50112"/>
    <n v="2"/>
    <n v="2025"/>
    <n v="1.0261309519999999"/>
    <n v="2.27"/>
    <n v="0.47"/>
  </r>
  <r>
    <x v="1"/>
    <s v="48.77064, -55.50112"/>
    <n v="3"/>
    <n v="2025"/>
    <n v="2.3496769849999999"/>
    <n v="4.93"/>
    <n v="0.9"/>
  </r>
  <r>
    <x v="1"/>
    <s v="48.77064, -55.50112"/>
    <n v="4"/>
    <n v="2025"/>
    <n v="4.6849444440000001"/>
    <n v="7.72"/>
    <n v="2.44"/>
  </r>
  <r>
    <x v="1"/>
    <s v="48.77064, -55.50112"/>
    <n v="5"/>
    <n v="2025"/>
    <n v="10.53407258"/>
    <n v="18.059999999999999"/>
    <n v="5.7"/>
  </r>
  <r>
    <x v="1"/>
    <s v="48.77064, -55.50112"/>
    <n v="6"/>
    <n v="2024"/>
    <n v="19.261162280000001"/>
    <n v="30.07"/>
    <n v="16.21"/>
  </r>
  <r>
    <x v="1"/>
    <s v="48.77064, -55.50112"/>
    <n v="6"/>
    <n v="2025"/>
    <n v="17.42706944"/>
    <n v="21.96"/>
    <n v="13.51"/>
  </r>
  <r>
    <x v="1"/>
    <s v="48.77064, -55.50112"/>
    <n v="7"/>
    <n v="2024"/>
    <n v="22.637553759999999"/>
    <n v="28.27"/>
    <n v="16.3"/>
  </r>
  <r>
    <x v="1"/>
    <s v="48.77064, -55.50112"/>
    <n v="7"/>
    <n v="2025"/>
    <n v="21.084610219999998"/>
    <n v="29.04"/>
    <n v="15.31"/>
  </r>
  <r>
    <x v="1"/>
    <s v="48.77064, -55.50112"/>
    <n v="8"/>
    <n v="2024"/>
    <n v="21.49758065"/>
    <n v="27.15"/>
    <n v="15.06"/>
  </r>
  <r>
    <x v="1"/>
    <s v="48.77064, -55.50112"/>
    <n v="8"/>
    <n v="2025"/>
    <n v="20.057258059999999"/>
    <n v="28.14"/>
    <n v="14.11"/>
  </r>
  <r>
    <x v="1"/>
    <s v="48.77064, -55.50112"/>
    <n v="9"/>
    <n v="2024"/>
    <n v="17.102638890000001"/>
    <n v="23.46"/>
    <n v="13.34"/>
  </r>
  <r>
    <x v="1"/>
    <s v="48.77064, -55.50112"/>
    <n v="9"/>
    <n v="2025"/>
    <n v="16.42148611"/>
    <n v="21.45"/>
    <n v="12.27"/>
  </r>
  <r>
    <x v="1"/>
    <s v="48.77064, -55.50112"/>
    <n v="10"/>
    <n v="2024"/>
    <n v="10.11729839"/>
    <n v="14.58"/>
    <n v="5.83"/>
  </r>
  <r>
    <x v="1"/>
    <s v="48.77064, -55.50112"/>
    <n v="10"/>
    <n v="2025"/>
    <n v="11.34656069"/>
    <n v="16"/>
    <n v="8.41"/>
  </r>
  <r>
    <x v="1"/>
    <s v="48.77064, -55.50112"/>
    <n v="11"/>
    <n v="2024"/>
    <n v="5.3871289879999997"/>
    <n v="7.03"/>
    <n v="2.87"/>
  </r>
  <r>
    <x v="1"/>
    <s v="48.77064, -55.50112"/>
    <n v="12"/>
    <n v="2024"/>
    <n v="1.207231183"/>
    <n v="4.07"/>
    <n v="0.38"/>
  </r>
  <r>
    <x v="2"/>
    <s v="48.68561, -56.87919"/>
    <n v="1"/>
    <n v="2025"/>
    <n v="0.39002688200000002"/>
    <n v="1.54"/>
    <n v="0.08"/>
  </r>
  <r>
    <x v="2"/>
    <s v="48.68561, -56.87919"/>
    <n v="2"/>
    <n v="2025"/>
    <n v="0.160669643"/>
    <n v="0.25"/>
    <n v="0.08"/>
  </r>
  <r>
    <x v="2"/>
    <s v="48.68561, -56.87919"/>
    <n v="3"/>
    <n v="2025"/>
    <n v="1.0297039029999999"/>
    <n v="5.49"/>
    <n v="0.08"/>
  </r>
  <r>
    <x v="2"/>
    <s v="48.68561, -56.87919"/>
    <n v="4"/>
    <n v="2025"/>
    <n v="4.8039722219999996"/>
    <n v="11.49"/>
    <n v="0.08"/>
  </r>
  <r>
    <x v="2"/>
    <s v="48.68561, -56.87919"/>
    <n v="5"/>
    <n v="2025"/>
    <n v="11.815134410000001"/>
    <n v="23.55"/>
    <n v="3.86"/>
  </r>
  <r>
    <x v="2"/>
    <s v="48.68561, -56.87919"/>
    <n v="6"/>
    <n v="2024"/>
    <n v="19.283154509999999"/>
    <n v="31.74"/>
    <n v="14.75"/>
  </r>
  <r>
    <x v="2"/>
    <s v="48.68561, -56.87919"/>
    <n v="6"/>
    <n v="2025"/>
    <n v="17.654194440000001"/>
    <n v="27.07"/>
    <n v="11.54"/>
  </r>
  <r>
    <x v="2"/>
    <s v="48.68561, -56.87919"/>
    <n v="7"/>
    <n v="2024"/>
    <n v="22.322876340000001"/>
    <n v="30.46"/>
    <n v="15.66"/>
  </r>
  <r>
    <x v="2"/>
    <s v="48.68561, -56.87919"/>
    <n v="7"/>
    <n v="2025"/>
    <n v="20.26076613"/>
    <n v="29.47"/>
    <n v="10.94"/>
  </r>
  <r>
    <x v="2"/>
    <s v="48.68561, -56.87919"/>
    <n v="8"/>
    <n v="2024"/>
    <n v="19.741693550000001"/>
    <n v="28.91"/>
    <n v="12.01"/>
  </r>
  <r>
    <x v="2"/>
    <s v="48.68561, -56.87919"/>
    <n v="8"/>
    <n v="2025"/>
    <n v="18.639316239999999"/>
    <n v="29.51"/>
    <n v="8.5299999999999994"/>
  </r>
  <r>
    <x v="2"/>
    <s v="48.68561, -56.87919"/>
    <n v="9"/>
    <n v="2024"/>
    <n v="14.798444440000001"/>
    <n v="22.39"/>
    <n v="7.33"/>
  </r>
  <r>
    <x v="2"/>
    <s v="48.68561, -56.87919"/>
    <n v="10"/>
    <n v="2024"/>
    <n v="8.7613709679999996"/>
    <n v="13.9"/>
    <n v="3.21"/>
  </r>
  <r>
    <x v="2"/>
    <s v="48.68561, -56.87919"/>
    <n v="11"/>
    <n v="2024"/>
    <n v="4.8570735090000001"/>
    <n v="8.19"/>
    <n v="0.94"/>
  </r>
  <r>
    <x v="2"/>
    <s v="48.68561, -56.87919"/>
    <n v="12"/>
    <n v="2024"/>
    <n v="0.59452956999999995"/>
    <n v="2.83"/>
    <n v="0.08"/>
  </r>
  <r>
    <x v="3"/>
    <s v="48.92259, -55.61033"/>
    <n v="1"/>
    <n v="2025"/>
    <n v="0.37655914000000001"/>
    <n v="1.58"/>
    <n v="0.13"/>
  </r>
  <r>
    <x v="3"/>
    <s v="48.92259, -55.61033"/>
    <n v="2"/>
    <n v="2025"/>
    <n v="0.20336309499999999"/>
    <n v="0.3"/>
    <n v="0.13"/>
  </r>
  <r>
    <x v="3"/>
    <s v="48.92259, -55.61033"/>
    <n v="3"/>
    <n v="2025"/>
    <n v="1.1411978469999999"/>
    <n v="4.8899999999999997"/>
    <n v="0.08"/>
  </r>
  <r>
    <x v="3"/>
    <s v="48.92259, -55.61033"/>
    <n v="4"/>
    <n v="2025"/>
    <n v="4.6000833329999997"/>
    <n v="9.2200000000000006"/>
    <n v="0.55000000000000004"/>
  </r>
  <r>
    <x v="3"/>
    <s v="48.92259, -55.61033"/>
    <n v="5"/>
    <n v="2025"/>
    <n v="11.532741939999999"/>
    <n v="18.57"/>
    <n v="5.75"/>
  </r>
  <r>
    <x v="3"/>
    <s v="48.92259, -55.61033"/>
    <n v="6"/>
    <n v="2024"/>
    <n v="19.954324320000001"/>
    <n v="25.78"/>
    <n v="15.87"/>
  </r>
  <r>
    <x v="3"/>
    <s v="48.92259, -55.61033"/>
    <n v="6"/>
    <n v="2025"/>
    <n v="17.965986109999999"/>
    <n v="22.22"/>
    <n v="13.64"/>
  </r>
  <r>
    <x v="3"/>
    <s v="48.92259, -55.61033"/>
    <n v="7"/>
    <n v="2024"/>
    <n v="22.326854839999999"/>
    <n v="26.42"/>
    <n v="17.11"/>
  </r>
  <r>
    <x v="3"/>
    <s v="48.92259, -55.61033"/>
    <n v="7"/>
    <n v="2025"/>
    <n v="21.285255379999999"/>
    <n v="28.57"/>
    <n v="17.11"/>
  </r>
  <r>
    <x v="3"/>
    <s v="48.92259, -55.61033"/>
    <n v="8"/>
    <n v="2024"/>
    <n v="20.717069890000001"/>
    <n v="25.99"/>
    <n v="16.77"/>
  </r>
  <r>
    <x v="3"/>
    <s v="48.92259, -55.61033"/>
    <n v="8"/>
    <n v="2025"/>
    <n v="21.333662919999998"/>
    <n v="27.84"/>
    <n v="17.46"/>
  </r>
  <r>
    <x v="3"/>
    <s v="48.92259, -55.61033"/>
    <n v="9"/>
    <n v="2024"/>
    <n v="16.188624999999998"/>
    <n v="21.4"/>
    <n v="11.49"/>
  </r>
  <r>
    <x v="3"/>
    <s v="48.92259, -55.61033"/>
    <n v="10"/>
    <n v="2024"/>
    <n v="8.9216666670000002"/>
    <n v="13.12"/>
    <n v="3.69"/>
  </r>
  <r>
    <x v="3"/>
    <s v="48.92259, -55.61033"/>
    <n v="11"/>
    <n v="2024"/>
    <n v="5.0162413309999998"/>
    <n v="8.02"/>
    <n v="1.8"/>
  </r>
  <r>
    <x v="3"/>
    <s v="48.92259, -55.61033"/>
    <n v="12"/>
    <n v="2024"/>
    <n v="0.44642473100000002"/>
    <n v="3.99"/>
    <n v="0.13"/>
  </r>
  <r>
    <x v="4"/>
    <s v="48.80189, -56.69339"/>
    <n v="1"/>
    <n v="2025"/>
    <n v="0.39208333299999998"/>
    <n v="2.06"/>
    <n v="0.08"/>
  </r>
  <r>
    <x v="4"/>
    <s v="48.80189, -56.69339"/>
    <n v="2"/>
    <n v="2025"/>
    <n v="0.20898809500000001"/>
    <n v="0.47"/>
    <n v="0.08"/>
  </r>
  <r>
    <x v="4"/>
    <s v="48.80189, -56.69339"/>
    <n v="3"/>
    <n v="2025"/>
    <n v="0.863472409"/>
    <n v="4.42"/>
    <n v="0.08"/>
  </r>
  <r>
    <x v="4"/>
    <s v="48.80189, -56.69339"/>
    <n v="4"/>
    <n v="2025"/>
    <n v="2.949555556"/>
    <n v="9.61"/>
    <n v="0.08"/>
  </r>
  <r>
    <x v="4"/>
    <s v="48.80189, -56.69339"/>
    <n v="5"/>
    <n v="2025"/>
    <n v="9.9070564520000008"/>
    <n v="21.7"/>
    <n v="2.5299999999999998"/>
  </r>
  <r>
    <x v="4"/>
    <s v="48.80189, -56.69339"/>
    <n v="6"/>
    <n v="2024"/>
    <n v="16.887284480000002"/>
    <n v="26.21"/>
    <n v="12.31"/>
  </r>
  <r>
    <x v="4"/>
    <s v="48.80189, -56.69339"/>
    <n v="6"/>
    <n v="2025"/>
    <n v="15.85116667"/>
    <n v="24.79"/>
    <n v="9.0500000000000007"/>
  </r>
  <r>
    <x v="4"/>
    <s v="48.80189, -56.69339"/>
    <n v="7"/>
    <n v="2024"/>
    <n v="20.699274190000001"/>
    <n v="28.87"/>
    <n v="13.55"/>
  </r>
  <r>
    <x v="4"/>
    <s v="48.80189, -56.69339"/>
    <n v="7"/>
    <n v="2025"/>
    <n v="19.893293010000001"/>
    <n v="28.01"/>
    <n v="12.18"/>
  </r>
  <r>
    <x v="4"/>
    <s v="48.80189, -56.69339"/>
    <n v="8"/>
    <n v="2024"/>
    <n v="19.260403230000001"/>
    <n v="27.37"/>
    <n v="11.62"/>
  </r>
  <r>
    <x v="4"/>
    <s v="48.80189, -56.69339"/>
    <n v="8"/>
    <n v="2025"/>
    <n v="19.804202449999998"/>
    <n v="28.87"/>
    <n v="13.38"/>
  </r>
  <r>
    <x v="4"/>
    <s v="48.80189, -56.69339"/>
    <n v="9"/>
    <n v="2024"/>
    <n v="14.532888890000001"/>
    <n v="21.79"/>
    <n v="8.6199999999999992"/>
  </r>
  <r>
    <x v="4"/>
    <s v="48.80189, -56.69339"/>
    <n v="10"/>
    <n v="2024"/>
    <n v="8.4886021510000003"/>
    <n v="13.81"/>
    <n v="3.77"/>
  </r>
  <r>
    <x v="4"/>
    <s v="48.80189, -56.69339"/>
    <n v="11"/>
    <n v="2024"/>
    <n v="4.716019417"/>
    <n v="7.76"/>
    <n v="1.1100000000000001"/>
  </r>
  <r>
    <x v="4"/>
    <s v="48.80189, -56.69339"/>
    <n v="12"/>
    <n v="2024"/>
    <n v="0.505873656"/>
    <n v="3.34"/>
    <n v="0.08"/>
  </r>
  <r>
    <x v="5"/>
    <s v="48.46014, -57.43195"/>
    <n v="1"/>
    <n v="2025"/>
    <n v="1.24827957"/>
    <n v="1.88"/>
    <n v="0.47"/>
  </r>
  <r>
    <x v="5"/>
    <s v="48.46014, -57.43195"/>
    <n v="2"/>
    <n v="2025"/>
    <n v="0.54476190499999999"/>
    <n v="1.46"/>
    <n v="0.08"/>
  </r>
  <r>
    <x v="5"/>
    <s v="48.46014, -57.43195"/>
    <n v="3"/>
    <n v="2025"/>
    <n v="1.283728129"/>
    <n v="2.4"/>
    <n v="0.38"/>
  </r>
  <r>
    <x v="5"/>
    <s v="48.46014, -57.43195"/>
    <n v="4"/>
    <n v="2025"/>
    <n v="2.1857222219999999"/>
    <n v="4.37"/>
    <n v="0.94"/>
  </r>
  <r>
    <x v="5"/>
    <s v="48.46014, -57.43195"/>
    <n v="5"/>
    <n v="2025"/>
    <n v="7.1536559139999998"/>
    <n v="16.34"/>
    <n v="2.61"/>
  </r>
  <r>
    <x v="5"/>
    <s v="48.46014, -57.43195"/>
    <n v="6"/>
    <n v="2024"/>
    <n v="17.977499999999999"/>
    <n v="23.03"/>
    <n v="16.47"/>
  </r>
  <r>
    <x v="5"/>
    <s v="48.46014, -57.43195"/>
    <n v="6"/>
    <n v="2025"/>
    <n v="15.125638889999999"/>
    <n v="22.22"/>
    <n v="10.08"/>
  </r>
  <r>
    <x v="5"/>
    <s v="48.46014, -57.43195"/>
    <n v="7"/>
    <n v="2024"/>
    <n v="21.134099460000002"/>
    <n v="27.93"/>
    <n v="16.690000000000001"/>
  </r>
  <r>
    <x v="5"/>
    <s v="48.46014, -57.43195"/>
    <n v="7"/>
    <n v="2025"/>
    <n v="19.352903229999999"/>
    <n v="27.93"/>
    <n v="13.85"/>
  </r>
  <r>
    <x v="5"/>
    <s v="48.46014, -57.43195"/>
    <n v="8"/>
    <n v="2024"/>
    <n v="19.911088710000001"/>
    <n v="26.47"/>
    <n v="13.3"/>
  </r>
  <r>
    <x v="5"/>
    <s v="48.46014, -57.43195"/>
    <n v="8"/>
    <n v="2025"/>
    <n v="18.929717740000001"/>
    <n v="27.2"/>
    <n v="11.84"/>
  </r>
  <r>
    <x v="5"/>
    <s v="48.46014, -57.43195"/>
    <n v="9"/>
    <n v="2024"/>
    <n v="15.338347219999999"/>
    <n v="22.56"/>
    <n v="10.81"/>
  </r>
  <r>
    <x v="5"/>
    <s v="48.46014, -57.43195"/>
    <n v="9"/>
    <n v="2025"/>
    <n v="15.80179167"/>
    <n v="23.08"/>
    <n v="9.61"/>
  </r>
  <r>
    <x v="5"/>
    <s v="48.46014, -57.43195"/>
    <n v="10"/>
    <n v="2024"/>
    <n v="9.9515053760000001"/>
    <n v="15.36"/>
    <n v="7.38"/>
  </r>
  <r>
    <x v="5"/>
    <s v="48.46014, -57.43195"/>
    <n v="10"/>
    <n v="2025"/>
    <n v="11.33465"/>
    <n v="16.73"/>
    <n v="8.6199999999999992"/>
  </r>
  <r>
    <x v="5"/>
    <s v="48.46014, -57.43195"/>
    <n v="11"/>
    <n v="2024"/>
    <n v="6.1217891819999997"/>
    <n v="8.41"/>
    <n v="3.86"/>
  </r>
  <r>
    <x v="5"/>
    <s v="48.46014, -57.43195"/>
    <n v="12"/>
    <n v="2024"/>
    <n v="2.3882795699999999"/>
    <n v="5.0199999999999996"/>
    <n v="0.13"/>
  </r>
  <r>
    <x v="6"/>
    <s v="48.76747, -56.38766"/>
    <n v="1"/>
    <n v="2025"/>
    <n v="0.18521505399999999"/>
    <n v="0.3"/>
    <n v="0.08"/>
  </r>
  <r>
    <x v="6"/>
    <s v="48.76747, -56.38766"/>
    <n v="2"/>
    <n v="2025"/>
    <n v="0.14462797599999999"/>
    <n v="0.25"/>
    <n v="0.08"/>
  </r>
  <r>
    <x v="6"/>
    <s v="48.76747, -56.38766"/>
    <n v="3"/>
    <n v="2025"/>
    <n v="0.449569314"/>
    <n v="3.3"/>
    <n v="0.08"/>
  </r>
  <r>
    <x v="6"/>
    <s v="48.76747, -56.38766"/>
    <n v="4"/>
    <n v="2025"/>
    <n v="3.3132777779999998"/>
    <n v="8.6199999999999992"/>
    <n v="0.21"/>
  </r>
  <r>
    <x v="6"/>
    <s v="48.76747, -56.38766"/>
    <n v="5"/>
    <n v="2025"/>
    <n v="10.96670699"/>
    <n v="19.73"/>
    <n v="3.56"/>
  </r>
  <r>
    <x v="6"/>
    <s v="48.76747, -56.38766"/>
    <n v="6"/>
    <n v="2024"/>
    <n v="18.337135419999999"/>
    <n v="26.51"/>
    <n v="13.9"/>
  </r>
  <r>
    <x v="6"/>
    <s v="48.76747, -56.38766"/>
    <n v="6"/>
    <n v="2025"/>
    <n v="16.929874999999999"/>
    <n v="22.99"/>
    <n v="11.19"/>
  </r>
  <r>
    <x v="6"/>
    <s v="48.76747, -56.38766"/>
    <n v="7"/>
    <n v="2024"/>
    <n v="21.09134409"/>
    <n v="28.61"/>
    <n v="15.27"/>
  </r>
  <r>
    <x v="6"/>
    <s v="48.76747, -56.38766"/>
    <n v="7"/>
    <n v="2025"/>
    <n v="20.476922040000002"/>
    <n v="27.45"/>
    <n v="13.81"/>
  </r>
  <r>
    <x v="6"/>
    <s v="48.76747, -56.38766"/>
    <n v="8"/>
    <n v="2024"/>
    <n v="20.21831989"/>
    <n v="27.11"/>
    <n v="13.64"/>
  </r>
  <r>
    <x v="6"/>
    <s v="48.76747, -56.38766"/>
    <n v="8"/>
    <n v="2025"/>
    <n v="20.245227880000002"/>
    <n v="25.95"/>
    <n v="14.2"/>
  </r>
  <r>
    <x v="6"/>
    <s v="48.76747, -56.38766"/>
    <n v="9"/>
    <n v="2024"/>
    <n v="15.051138890000001"/>
    <n v="21.62"/>
    <n v="9.7799999999999994"/>
  </r>
  <r>
    <x v="6"/>
    <s v="48.76747, -56.38766"/>
    <n v="10"/>
    <n v="2024"/>
    <n v="8.4097983870000004"/>
    <n v="12.44"/>
    <n v="3.13"/>
  </r>
  <r>
    <x v="6"/>
    <s v="48.76747, -56.38766"/>
    <n v="11"/>
    <n v="2024"/>
    <n v="4.6290429959999999"/>
    <n v="7.42"/>
    <n v="1.5"/>
  </r>
  <r>
    <x v="6"/>
    <s v="48.76747, -56.38766"/>
    <n v="12"/>
    <n v="2024"/>
    <n v="0.312486559"/>
    <n v="1.97"/>
    <n v="0.13"/>
  </r>
  <r>
    <x v="7"/>
    <s v="48.70576, -55.62967"/>
    <n v="1"/>
    <n v="2025"/>
    <n v="1.026505376"/>
    <n v="2.0099999999999998"/>
    <n v="0.38"/>
  </r>
  <r>
    <x v="7"/>
    <s v="48.70576, -55.62967"/>
    <n v="2"/>
    <n v="2025"/>
    <n v="0.85552083300000004"/>
    <n v="2.87"/>
    <n v="0.13"/>
  </r>
  <r>
    <x v="7"/>
    <s v="48.70576, -55.62967"/>
    <n v="3"/>
    <n v="2025"/>
    <n v="2.6408479140000001"/>
    <n v="4.63"/>
    <n v="0.86"/>
  </r>
  <r>
    <x v="7"/>
    <s v="48.70576, -55.62967"/>
    <n v="4"/>
    <n v="2025"/>
    <n v="4.5844166670000002"/>
    <n v="8.5299999999999994"/>
    <n v="3.17"/>
  </r>
  <r>
    <x v="7"/>
    <s v="48.70576, -55.62967"/>
    <n v="5"/>
    <n v="2025"/>
    <n v="9.8047311829999995"/>
    <n v="17.93"/>
    <n v="5.36"/>
  </r>
  <r>
    <x v="7"/>
    <s v="48.70576, -55.62967"/>
    <n v="6"/>
    <n v="2024"/>
    <n v="18.294482760000001"/>
    <n v="22.82"/>
    <n v="16.899999999999999"/>
  </r>
  <r>
    <x v="7"/>
    <s v="48.70576, -55.62967"/>
    <n v="6"/>
    <n v="2025"/>
    <n v="16.395638890000001"/>
    <n v="22.95"/>
    <n v="11.92"/>
  </r>
  <r>
    <x v="7"/>
    <s v="48.70576, -55.62967"/>
    <n v="7"/>
    <n v="2024"/>
    <n v="21.495551079999998"/>
    <n v="27.11"/>
    <n v="16.64"/>
  </r>
  <r>
    <x v="7"/>
    <s v="48.70576, -55.62967"/>
    <n v="7"/>
    <n v="2025"/>
    <n v="19.863965050000001"/>
    <n v="26.98"/>
    <n v="14.5"/>
  </r>
  <r>
    <x v="7"/>
    <s v="48.70576, -55.62967"/>
    <n v="8"/>
    <n v="2024"/>
    <n v="19.87311828"/>
    <n v="27.02"/>
    <n v="13.6"/>
  </r>
  <r>
    <x v="7"/>
    <s v="48.70576, -55.62967"/>
    <n v="8"/>
    <n v="2025"/>
    <n v="18.572620969999999"/>
    <n v="25.95"/>
    <n v="12.57"/>
  </r>
  <r>
    <x v="7"/>
    <s v="48.70576, -55.62967"/>
    <n v="9"/>
    <n v="2024"/>
    <n v="16.000250000000001"/>
    <n v="22.31"/>
    <n v="11.15"/>
  </r>
  <r>
    <x v="7"/>
    <s v="48.70576, -55.62967"/>
    <n v="9"/>
    <n v="2025"/>
    <n v="17.315368169999999"/>
    <n v="21.53"/>
    <n v="14.28"/>
  </r>
  <r>
    <x v="7"/>
    <s v="48.70576, -55.62967"/>
    <n v="10"/>
    <n v="2024"/>
    <n v="10.233615589999999"/>
    <n v="14.63"/>
    <n v="7.08"/>
  </r>
  <r>
    <x v="7"/>
    <s v="48.70576, -55.62967"/>
    <n v="11"/>
    <n v="2024"/>
    <n v="5.3723300969999999"/>
    <n v="7.76"/>
    <n v="2.61"/>
  </r>
  <r>
    <x v="7"/>
    <s v="48.70576, -55.62967"/>
    <n v="12"/>
    <n v="2024"/>
    <n v="1.316841398"/>
    <n v="4.59"/>
    <n v="0.17"/>
  </r>
  <r>
    <x v="8"/>
    <s v="48.74851, -56.24986"/>
    <n v="1"/>
    <n v="2025"/>
    <n v="0.30540322600000003"/>
    <n v="1.37"/>
    <n v="0.17"/>
  </r>
  <r>
    <x v="8"/>
    <s v="48.74851, -56.24986"/>
    <n v="2"/>
    <n v="2025"/>
    <n v="0.22308035700000001"/>
    <n v="0.3"/>
    <n v="0.17"/>
  </r>
  <r>
    <x v="8"/>
    <s v="48.74851, -56.24986"/>
    <n v="3"/>
    <n v="2025"/>
    <n v="0.55339165499999998"/>
    <n v="3.69"/>
    <n v="0.13"/>
  </r>
  <r>
    <x v="8"/>
    <s v="48.74851, -56.24986"/>
    <n v="4"/>
    <n v="2025"/>
    <n v="3.487625"/>
    <n v="9.44"/>
    <n v="0.17"/>
  </r>
  <r>
    <x v="8"/>
    <s v="48.74851, -56.24986"/>
    <n v="5"/>
    <n v="2025"/>
    <n v="10.59849462"/>
    <n v="21.1"/>
    <n v="3.6"/>
  </r>
  <r>
    <x v="8"/>
    <s v="48.74851, -56.24986"/>
    <n v="6"/>
    <n v="2024"/>
    <n v="18.22781818"/>
    <n v="25.69"/>
    <n v="13.68"/>
  </r>
  <r>
    <x v="8"/>
    <s v="48.74851, -56.24986"/>
    <n v="6"/>
    <n v="2025"/>
    <n v="16.29231944"/>
    <n v="23.85"/>
    <n v="9.65"/>
  </r>
  <r>
    <x v="8"/>
    <s v="48.74851, -56.24986"/>
    <n v="7"/>
    <n v="2024"/>
    <n v="20.323521509999999"/>
    <n v="25.69"/>
    <n v="13.55"/>
  </r>
  <r>
    <x v="8"/>
    <s v="48.74851, -56.24986"/>
    <n v="7"/>
    <n v="2025"/>
    <n v="19.469126339999999"/>
    <n v="27.07"/>
    <n v="12.65"/>
  </r>
  <r>
    <x v="8"/>
    <s v="48.74851, -56.24986"/>
    <n v="8"/>
    <n v="2024"/>
    <n v="18.705161289999999"/>
    <n v="25.18"/>
    <n v="12.14"/>
  </r>
  <r>
    <x v="8"/>
    <s v="48.74851, -56.24986"/>
    <n v="8"/>
    <n v="2025"/>
    <n v="19.267029180000002"/>
    <n v="27.32"/>
    <n v="12.61"/>
  </r>
  <r>
    <x v="8"/>
    <s v="48.74851, -56.24986"/>
    <n v="9"/>
    <n v="2024"/>
    <n v="14.42677778"/>
    <n v="20.420000000000002"/>
    <n v="8.9600000000000009"/>
  </r>
  <r>
    <x v="8"/>
    <s v="48.74851, -56.24986"/>
    <n v="10"/>
    <n v="2024"/>
    <n v="8.2306720430000002"/>
    <n v="12.22"/>
    <n v="2.23"/>
  </r>
  <r>
    <x v="8"/>
    <s v="48.74851, -56.24986"/>
    <n v="11"/>
    <n v="2024"/>
    <n v="4.8775034670000004"/>
    <n v="8.06"/>
    <n v="1.41"/>
  </r>
  <r>
    <x v="8"/>
    <s v="48.74851, -56.24986"/>
    <n v="12"/>
    <n v="2024"/>
    <n v="0.436518817"/>
    <n v="2.4"/>
    <n v="0.13"/>
  </r>
  <r>
    <x v="9"/>
    <s v="48.66565, -56.18111"/>
    <n v="1"/>
    <n v="2025"/>
    <n v="1.3094489250000001"/>
    <n v="2.4"/>
    <n v="0.51"/>
  </r>
  <r>
    <x v="9"/>
    <s v="48.66565, -56.18111"/>
    <n v="2"/>
    <n v="2025"/>
    <n v="0.92430059499999995"/>
    <n v="2.06"/>
    <n v="0.51"/>
  </r>
  <r>
    <x v="9"/>
    <s v="48.66565, -56.18111"/>
    <n v="3"/>
    <n v="2025"/>
    <n v="2.611103634"/>
    <n v="5.45"/>
    <n v="0.64"/>
  </r>
  <r>
    <x v="9"/>
    <s v="48.66565, -56.18111"/>
    <n v="4"/>
    <n v="2025"/>
    <n v="4.4578749999999996"/>
    <n v="8.66"/>
    <n v="1.76"/>
  </r>
  <r>
    <x v="9"/>
    <s v="48.66565, -56.18111"/>
    <n v="5"/>
    <n v="2025"/>
    <n v="10.903602149999999"/>
    <n v="18.79"/>
    <n v="5.27"/>
  </r>
  <r>
    <x v="9"/>
    <s v="48.66565, -56.18111"/>
    <n v="6"/>
    <n v="2024"/>
    <n v="18.775396829999998"/>
    <n v="24.97"/>
    <n v="13.77"/>
  </r>
  <r>
    <x v="9"/>
    <s v="48.66565, -56.18111"/>
    <n v="6"/>
    <n v="2025"/>
    <n v="17.05206944"/>
    <n v="21.36"/>
    <n v="12.44"/>
  </r>
  <r>
    <x v="9"/>
    <s v="48.66565, -56.18111"/>
    <n v="7"/>
    <n v="2024"/>
    <n v="21.623750000000001"/>
    <n v="25.18"/>
    <n v="16"/>
  </r>
  <r>
    <x v="9"/>
    <s v="48.66565, -56.18111"/>
    <n v="7"/>
    <n v="2025"/>
    <n v="20.32278226"/>
    <n v="24.58"/>
    <n v="15.4"/>
  </r>
  <r>
    <x v="9"/>
    <s v="48.66565, -56.18111"/>
    <n v="8"/>
    <n v="2024"/>
    <n v="19.996344090000001"/>
    <n v="23.76"/>
    <n v="15.18"/>
  </r>
  <r>
    <x v="9"/>
    <s v="48.66565, -56.18111"/>
    <n v="8"/>
    <n v="2025"/>
    <n v="20.278891689999998"/>
    <n v="23.51"/>
    <n v="17.07"/>
  </r>
  <r>
    <x v="9"/>
    <s v="48.66565, -56.18111"/>
    <n v="9"/>
    <n v="2024"/>
    <n v="15.96055556"/>
    <n v="19.600000000000001"/>
    <n v="12.14"/>
  </r>
  <r>
    <x v="9"/>
    <s v="48.66565, -56.18111"/>
    <n v="10"/>
    <n v="2024"/>
    <n v="9.3270161290000004"/>
    <n v="13.81"/>
    <n v="4.93"/>
  </r>
  <r>
    <x v="9"/>
    <s v="48.66565, -56.18111"/>
    <n v="11"/>
    <n v="2024"/>
    <n v="5.0037447989999997"/>
    <n v="7.55"/>
    <n v="2.14"/>
  </r>
  <r>
    <x v="9"/>
    <s v="48.66565, -56.18111"/>
    <n v="12"/>
    <n v="2024"/>
    <n v="1.777715054"/>
    <n v="4.42"/>
    <n v="0.77"/>
  </r>
  <r>
    <x v="10"/>
    <s v="48.77168, -56.86634"/>
    <n v="1"/>
    <n v="2025"/>
    <n v="0.298064516"/>
    <n v="1.41"/>
    <n v="0.04"/>
  </r>
  <r>
    <x v="10"/>
    <s v="48.77168, -56.86634"/>
    <n v="2"/>
    <n v="2025"/>
    <n v="0.13977678599999999"/>
    <n v="0.25"/>
    <n v="0.08"/>
  </r>
  <r>
    <x v="10"/>
    <s v="48.77168, -56.86634"/>
    <n v="3"/>
    <n v="2025"/>
    <n v="0.60296096899999996"/>
    <n v="4.5"/>
    <n v="0.04"/>
  </r>
  <r>
    <x v="10"/>
    <s v="48.77168, -56.86634"/>
    <n v="4"/>
    <n v="2025"/>
    <n v="2.745013889"/>
    <n v="7.72"/>
    <n v="0.08"/>
  </r>
  <r>
    <x v="10"/>
    <s v="48.77168, -56.86634"/>
    <n v="5"/>
    <n v="2025"/>
    <n v="10.46071237"/>
    <n v="19.3"/>
    <n v="2.87"/>
  </r>
  <r>
    <x v="10"/>
    <s v="48.77168, -56.86634"/>
    <n v="6"/>
    <n v="2024"/>
    <n v="19.27306548"/>
    <n v="31.31"/>
    <n v="15.48"/>
  </r>
  <r>
    <x v="10"/>
    <s v="48.77168, -56.86634"/>
    <n v="6"/>
    <n v="2025"/>
    <n v="16.97138211"/>
    <n v="22.82"/>
    <n v="13"/>
  </r>
  <r>
    <x v="10"/>
    <s v="48.77168, -56.86634"/>
    <n v="7"/>
    <n v="2024"/>
    <n v="21.638870969999999"/>
    <n v="26.6"/>
    <n v="15.7"/>
  </r>
  <r>
    <x v="10"/>
    <s v="48.77168, -56.86634"/>
    <n v="8"/>
    <n v="2024"/>
    <n v="19.61696237"/>
    <n v="24.97"/>
    <n v="14.07"/>
  </r>
  <r>
    <x v="10"/>
    <s v="48.77168, -56.86634"/>
    <n v="9"/>
    <n v="2024"/>
    <n v="14.97101389"/>
    <n v="20.76"/>
    <n v="10.34"/>
  </r>
  <r>
    <x v="10"/>
    <s v="48.77168, -56.86634"/>
    <n v="10"/>
    <n v="2024"/>
    <n v="8.6579838710000008"/>
    <n v="13"/>
    <n v="3.39"/>
  </r>
  <r>
    <x v="10"/>
    <s v="48.77168, -56.86634"/>
    <n v="11"/>
    <n v="2024"/>
    <n v="4.326144244"/>
    <n v="7.16"/>
    <n v="0.9"/>
  </r>
  <r>
    <x v="10"/>
    <s v="48.77168, -56.86634"/>
    <n v="12"/>
    <n v="2024"/>
    <n v="0.471236559"/>
    <n v="3.17"/>
    <n v="0.08"/>
  </r>
  <r>
    <x v="11"/>
    <s v="48.63144, -55.73321"/>
    <n v="1"/>
    <n v="2025"/>
    <n v="0.18366263399999999"/>
    <n v="1.1120000000000001"/>
    <n v="0.01"/>
  </r>
  <r>
    <x v="11"/>
    <s v="48.63144, -55.73321"/>
    <n v="2"/>
    <n v="2025"/>
    <n v="6.1700893E-2"/>
    <n v="0.23200000000000001"/>
    <n v="0.01"/>
  </r>
  <r>
    <x v="11"/>
    <s v="48.63144, -55.73321"/>
    <n v="3"/>
    <n v="2025"/>
    <n v="1.193728495"/>
    <n v="4.8310000000000004"/>
    <n v="0.01"/>
  </r>
  <r>
    <x v="11"/>
    <s v="48.63144, -55.73321"/>
    <n v="4"/>
    <n v="2025"/>
    <n v="4.725376389"/>
    <n v="11.138999999999999"/>
    <n v="0.01"/>
  </r>
  <r>
    <x v="11"/>
    <s v="48.63144, -55.73321"/>
    <n v="5"/>
    <n v="2025"/>
    <n v="11.4"/>
    <n v="21.187000000000001"/>
    <n v="4.6230000000000002"/>
  </r>
  <r>
    <x v="11"/>
    <s v="48.63144, -55.73321"/>
    <n v="6"/>
    <n v="2024"/>
    <n v="18.96839516"/>
    <n v="31.675999999999998"/>
    <n v="15.090999999999999"/>
  </r>
  <r>
    <x v="11"/>
    <s v="48.63144, -55.73321"/>
    <n v="6"/>
    <n v="2025"/>
    <n v="17.60465336"/>
    <n v="29.652000000000001"/>
    <n v="11.528"/>
  </r>
  <r>
    <x v="11"/>
    <s v="48.63144, -55.73321"/>
    <n v="7"/>
    <n v="2024"/>
    <n v="22.166361559999999"/>
    <n v="28.655000000000001"/>
    <n v="14.9"/>
  </r>
  <r>
    <x v="11"/>
    <s v="48.63144, -55.73321"/>
    <n v="8"/>
    <n v="2024"/>
    <n v="20.342952960000002"/>
    <n v="27.960999999999999"/>
    <n v="13.365"/>
  </r>
  <r>
    <x v="11"/>
    <s v="48.63144, -55.73321"/>
    <n v="9"/>
    <n v="2024"/>
    <n v="15.853400000000001"/>
    <n v="22.238"/>
    <n v="10.747999999999999"/>
  </r>
  <r>
    <x v="11"/>
    <s v="48.63144, -55.73321"/>
    <n v="10"/>
    <n v="2024"/>
    <n v="8.8161653229999999"/>
    <n v="13.461"/>
    <n v="3.1549999999999998"/>
  </r>
  <r>
    <x v="11"/>
    <s v="48.63144, -55.73321"/>
    <n v="11"/>
    <n v="2024"/>
    <n v="5.0236569439999998"/>
    <n v="8.9779999999999998"/>
    <n v="1.0029999999999999"/>
  </r>
  <r>
    <x v="11"/>
    <s v="48.63144, -55.73321"/>
    <n v="12"/>
    <n v="2024"/>
    <n v="0.43059946199999999"/>
    <n v="2.41"/>
    <n v="0.01"/>
  </r>
  <r>
    <x v="12"/>
    <s v="48.86641, -56.43228"/>
    <n v="1"/>
    <n v="2025"/>
    <n v="4.4608871000000001E-2"/>
    <n v="0.45300000000000001"/>
    <n v="0.01"/>
  </r>
  <r>
    <x v="12"/>
    <s v="48.86641, -56.43228"/>
    <n v="2"/>
    <n v="2025"/>
    <n v="0.01"/>
    <n v="0.01"/>
    <n v="0.01"/>
  </r>
  <r>
    <x v="12"/>
    <s v="48.86641, -56.43228"/>
    <n v="3"/>
    <n v="2025"/>
    <n v="0.52901209699999996"/>
    <n v="4.2069999999999999"/>
    <n v="0.01"/>
  </r>
  <r>
    <x v="12"/>
    <s v="48.86641, -56.43228"/>
    <n v="4"/>
    <n v="2025"/>
    <n v="3.6183208329999998"/>
    <n v="9.1760000000000002"/>
    <n v="0.01"/>
  </r>
  <r>
    <x v="12"/>
    <s v="48.86641, -56.43228"/>
    <n v="5"/>
    <n v="2025"/>
    <n v="11.12527285"/>
    <n v="21.282"/>
    <n v="3.367"/>
  </r>
  <r>
    <x v="12"/>
    <s v="48.86641, -56.43228"/>
    <n v="6"/>
    <n v="2024"/>
    <n v="18.440555140000001"/>
    <n v="26.879000000000001"/>
    <n v="12.98"/>
  </r>
  <r>
    <x v="12"/>
    <s v="48.86641, -56.43228"/>
    <n v="6"/>
    <n v="2025"/>
    <n v="17.71098194"/>
    <n v="26.195"/>
    <n v="10.651"/>
  </r>
  <r>
    <x v="12"/>
    <s v="48.86641, -56.43228"/>
    <n v="7"/>
    <n v="2024"/>
    <n v="22.564977150000001"/>
    <n v="30.963000000000001"/>
    <n v="15.664"/>
  </r>
  <r>
    <x v="12"/>
    <s v="48.86641, -56.43228"/>
    <n v="7"/>
    <n v="2025"/>
    <n v="21.436229839999999"/>
    <n v="30.963000000000001"/>
    <n v="13.269"/>
  </r>
  <r>
    <x v="12"/>
    <s v="48.86641, -56.43228"/>
    <n v="8"/>
    <n v="2024"/>
    <n v="20.5768871"/>
    <n v="28.853000000000002"/>
    <n v="12.593999999999999"/>
  </r>
  <r>
    <x v="12"/>
    <s v="48.86641, -56.43228"/>
    <n v="8"/>
    <n v="2025"/>
    <n v="20.2507381"/>
    <n v="28.158999999999999"/>
    <n v="13.558"/>
  </r>
  <r>
    <x v="12"/>
    <s v="48.86641, -56.43228"/>
    <n v="9"/>
    <n v="2024"/>
    <n v="15.6915"/>
    <n v="24.835000000000001"/>
    <n v="8.7789999999999999"/>
  </r>
  <r>
    <x v="12"/>
    <s v="48.86641, -56.43228"/>
    <n v="10"/>
    <n v="2024"/>
    <n v="8.3061102150000004"/>
    <n v="14.709"/>
    <n v="2.41"/>
  </r>
  <r>
    <x v="12"/>
    <s v="48.86641, -56.43228"/>
    <n v="11"/>
    <n v="2024"/>
    <n v="4.4059569439999997"/>
    <n v="7.5819999999999999"/>
    <n v="0.78400000000000003"/>
  </r>
  <r>
    <x v="12"/>
    <s v="48.86641, -56.43228"/>
    <n v="12"/>
    <n v="2024"/>
    <n v="0.163489247"/>
    <n v="1.8720000000000001"/>
    <n v="0.01"/>
  </r>
  <r>
    <x v="13"/>
    <s v="49.07619, -55.99207"/>
    <n v="1"/>
    <n v="2025"/>
    <n v="0.57690725799999998"/>
    <n v="2.3029999999999999"/>
    <n v="-0.10199999999999999"/>
  </r>
  <r>
    <x v="13"/>
    <s v="49.07619, -55.99207"/>
    <n v="2"/>
    <n v="2025"/>
    <n v="1.0825893E-2"/>
    <n v="0.121"/>
    <n v="0.01"/>
  </r>
  <r>
    <x v="13"/>
    <s v="49.07619, -55.99207"/>
    <n v="3"/>
    <n v="2025"/>
    <n v="2.3671827959999998"/>
    <n v="5.5519999999999996"/>
    <n v="0.01"/>
  </r>
  <r>
    <x v="13"/>
    <s v="49.07619, -55.99207"/>
    <n v="4"/>
    <n v="2025"/>
    <n v="4.2413111109999999"/>
    <n v="9.077"/>
    <n v="1.0029999999999999"/>
  </r>
  <r>
    <x v="13"/>
    <s v="49.07619, -55.99207"/>
    <n v="5"/>
    <n v="2025"/>
    <n v="10.329998659999999"/>
    <n v="18.616"/>
    <n v="4.5190000000000001"/>
  </r>
  <r>
    <x v="13"/>
    <s v="49.07619, -55.99207"/>
    <n v="6"/>
    <n v="2024"/>
    <n v="19.329323460000001"/>
    <n v="36.945999999999998"/>
    <n v="15.378"/>
  </r>
  <r>
    <x v="13"/>
    <s v="49.07619, -55.99207"/>
    <n v="6"/>
    <n v="2025"/>
    <n v="17.088554030000001"/>
    <n v="22.620999999999999"/>
    <n v="9.8659999999999997"/>
  </r>
  <r>
    <x v="13"/>
    <s v="49.07619, -55.99207"/>
    <n v="7"/>
    <n v="2024"/>
    <n v="22.3995"/>
    <n v="31.574000000000002"/>
    <n v="15.855"/>
  </r>
  <r>
    <x v="13"/>
    <s v="49.07619, -55.99207"/>
    <n v="8"/>
    <n v="2024"/>
    <n v="20.776495969999999"/>
    <n v="28.952999999999999"/>
    <n v="13.75"/>
  </r>
  <r>
    <x v="13"/>
    <s v="49.07619, -55.99207"/>
    <n v="9"/>
    <n v="2024"/>
    <n v="16.034515280000001"/>
    <n v="24.931000000000001"/>
    <n v="9.9649999999999999"/>
  </r>
  <r>
    <x v="13"/>
    <s v="49.07619, -55.99207"/>
    <n v="10"/>
    <n v="2024"/>
    <n v="8.9933360219999994"/>
    <n v="14.9"/>
    <n v="4.7270000000000003"/>
  </r>
  <r>
    <x v="13"/>
    <s v="49.07619, -55.99207"/>
    <n v="11"/>
    <n v="2024"/>
    <n v="4.5453625000000004"/>
    <n v="6.6740000000000004"/>
    <n v="2.0880000000000001"/>
  </r>
  <r>
    <x v="13"/>
    <s v="49.07619, -55.99207"/>
    <n v="12"/>
    <n v="2024"/>
    <n v="0.57221505399999995"/>
    <n v="3.1549999999999998"/>
    <n v="-0.10199999999999999"/>
  </r>
  <r>
    <x v="14"/>
    <s v="48.61227, -56.63251"/>
    <n v="1"/>
    <n v="2025"/>
    <n v="8.5771504999999998E-2"/>
    <n v="0.45300000000000001"/>
    <n v="0.01"/>
  </r>
  <r>
    <x v="14"/>
    <s v="48.61227, -56.63251"/>
    <n v="2"/>
    <n v="2025"/>
    <n v="1.6276786000000001E-2"/>
    <n v="0.121"/>
    <n v="0.01"/>
  </r>
  <r>
    <x v="14"/>
    <s v="48.61227, -56.63251"/>
    <n v="3"/>
    <n v="2025"/>
    <n v="0.46207795699999998"/>
    <n v="2.41"/>
    <n v="0.01"/>
  </r>
  <r>
    <x v="14"/>
    <s v="48.61227, -56.63251"/>
    <n v="4"/>
    <n v="2025"/>
    <n v="3.7887374999999999"/>
    <n v="8.3819999999999997"/>
    <n v="0.01"/>
  </r>
  <r>
    <x v="14"/>
    <s v="48.61227, -56.63251"/>
    <n v="5"/>
    <n v="2025"/>
    <n v="11.40416263"/>
    <n v="21.472999999999999"/>
    <n v="3.5779999999999998"/>
  </r>
  <r>
    <x v="14"/>
    <s v="48.61227, -56.63251"/>
    <n v="6"/>
    <n v="2024"/>
    <n v="18.631081630000001"/>
    <n v="26.195"/>
    <n v="13.654"/>
  </r>
  <r>
    <x v="14"/>
    <s v="48.61227, -56.63251"/>
    <n v="6"/>
    <n v="2025"/>
    <n v="17.45531944"/>
    <n v="24.640999999999998"/>
    <n v="11.722"/>
  </r>
  <r>
    <x v="14"/>
    <s v="48.61227, -56.63251"/>
    <n v="7"/>
    <n v="2024"/>
    <n v="21.97057392"/>
    <n v="28.952999999999999"/>
    <n v="15.951000000000001"/>
  </r>
  <r>
    <x v="14"/>
    <s v="48.61227, -56.63251"/>
    <n v="7"/>
    <n v="2025"/>
    <n v="20.747569890000001"/>
    <n v="28.356999999999999"/>
    <n v="12.593999999999999"/>
  </r>
  <r>
    <x v="14"/>
    <s v="48.61227, -56.63251"/>
    <n v="8"/>
    <n v="2024"/>
    <n v="20.172822579999998"/>
    <n v="27.664999999999999"/>
    <n v="13.269"/>
  </r>
  <r>
    <x v="14"/>
    <s v="48.61227, -56.63251"/>
    <n v="8"/>
    <n v="2025"/>
    <n v="21.007432340000001"/>
    <n v="28.456"/>
    <n v="15.282"/>
  </r>
  <r>
    <x v="14"/>
    <s v="48.61227, -56.63251"/>
    <n v="9"/>
    <n v="2024"/>
    <n v="15.625075000000001"/>
    <n v="23.196000000000002"/>
    <n v="10.651"/>
  </r>
  <r>
    <x v="14"/>
    <s v="48.61227, -56.63251"/>
    <n v="10"/>
    <n v="2024"/>
    <n v="8.4961088710000006"/>
    <n v="13.846"/>
    <n v="2.73"/>
  </r>
  <r>
    <x v="14"/>
    <s v="48.61227, -56.63251"/>
    <n v="11"/>
    <n v="2024"/>
    <n v="4.3224666669999996"/>
    <n v="7.28"/>
    <n v="1.1120000000000001"/>
  </r>
  <r>
    <x v="14"/>
    <s v="48.61227, -56.63251"/>
    <n v="12"/>
    <n v="2024"/>
    <n v="0.21162231200000001"/>
    <n v="1.764"/>
    <n v="0.01"/>
  </r>
  <r>
    <x v="15"/>
    <s v="48.90825, -55.54067"/>
    <n v="1"/>
    <n v="2025"/>
    <n v="0.27688709700000003"/>
    <n v="2.41"/>
    <n v="-0.10199999999999999"/>
  </r>
  <r>
    <x v="15"/>
    <s v="48.90825, -55.54067"/>
    <n v="2"/>
    <n v="2025"/>
    <n v="1.1816963999999999E-2"/>
    <n v="0.121"/>
    <n v="0.01"/>
  </r>
  <r>
    <x v="15"/>
    <s v="48.90825, -55.54067"/>
    <n v="3"/>
    <n v="2025"/>
    <n v="1.2350255379999999"/>
    <n v="5.5519999999999996"/>
    <n v="-0.10199999999999999"/>
  </r>
  <r>
    <x v="15"/>
    <s v="48.90825, -55.54067"/>
    <n v="4"/>
    <n v="2025"/>
    <n v="4.7309666669999997"/>
    <n v="11.041"/>
    <n v="0.56299999999999994"/>
  </r>
  <r>
    <x v="15"/>
    <s v="48.90825, -55.54067"/>
    <n v="5"/>
    <n v="2025"/>
    <n v="11.12354435"/>
    <n v="21.664000000000001"/>
    <n v="5.3470000000000004"/>
  </r>
  <r>
    <x v="15"/>
    <s v="48.90825, -55.54067"/>
    <n v="6"/>
    <n v="2024"/>
    <n v="19.32153898"/>
    <n v="27.567"/>
    <n v="14.613"/>
  </r>
  <r>
    <x v="15"/>
    <s v="48.90825, -55.54067"/>
    <n v="6"/>
    <n v="2025"/>
    <n v="17.242325000000001"/>
    <n v="25.318999999999999"/>
    <n v="11.528"/>
  </r>
  <r>
    <x v="15"/>
    <s v="48.90825, -55.54067"/>
    <n v="7"/>
    <n v="2024"/>
    <n v="21.793924730000001"/>
    <n v="29.952999999999999"/>
    <n v="14.709"/>
  </r>
  <r>
    <x v="15"/>
    <s v="48.90825, -55.54067"/>
    <n v="7"/>
    <n v="2025"/>
    <n v="19.249131720000001"/>
    <n v="26.683"/>
    <n v="13.269"/>
  </r>
  <r>
    <x v="15"/>
    <s v="48.90825, -55.54067"/>
    <n v="8"/>
    <n v="2024"/>
    <n v="19.561081990000002"/>
    <n v="27.271999999999998"/>
    <n v="11.819000000000001"/>
  </r>
  <r>
    <x v="15"/>
    <s v="48.90825, -55.54067"/>
    <n v="8"/>
    <n v="2025"/>
    <n v="18.85364015"/>
    <n v="25.125"/>
    <n v="13.846"/>
  </r>
  <r>
    <x v="15"/>
    <s v="48.90825, -55.54067"/>
    <n v="9"/>
    <n v="2024"/>
    <n v="15.507075"/>
    <n v="23.196000000000002"/>
    <n v="8.7789999999999999"/>
  </r>
  <r>
    <x v="15"/>
    <s v="48.90825, -55.54067"/>
    <n v="10"/>
    <n v="2024"/>
    <n v="8.9635940860000005"/>
    <n v="13.365"/>
    <n v="3.5779999999999998"/>
  </r>
  <r>
    <x v="15"/>
    <s v="48.90825, -55.54067"/>
    <n v="11"/>
    <n v="2024"/>
    <n v="5.0916708330000002"/>
    <n v="8.0820000000000007"/>
    <n v="1.8720000000000001"/>
  </r>
  <r>
    <x v="15"/>
    <s v="48.90825, -55.54067"/>
    <n v="12"/>
    <n v="2024"/>
    <n v="0.50296236599999999"/>
    <n v="4.5190000000000001"/>
    <n v="-0.10199999999999999"/>
  </r>
  <r>
    <x v="16"/>
    <s v="48.55608, -57.12120"/>
    <n v="1"/>
    <n v="2025"/>
    <n v="0.37485379099999999"/>
    <n v="1.756142578"/>
    <n v="4.0126953E-2"/>
  </r>
  <r>
    <x v="16"/>
    <s v="48.55608, -57.12120"/>
    <n v="2"/>
    <n v="2025"/>
    <n v="0.18555416999999999"/>
    <n v="0.55493164100000003"/>
    <n v="4.0126953E-2"/>
  </r>
  <r>
    <x v="16"/>
    <s v="48.55608, -57.12120"/>
    <n v="3"/>
    <n v="2025"/>
    <n v="0.92123053399999999"/>
    <n v="4.0298632809999999"/>
    <n v="4.0126953E-2"/>
  </r>
  <r>
    <x v="16"/>
    <s v="48.55608, -57.12120"/>
    <n v="4"/>
    <n v="2025"/>
    <n v="2.905515544"/>
    <n v="7.7192968750000004"/>
    <n v="8.3027344000000003E-2"/>
  </r>
  <r>
    <x v="16"/>
    <s v="48.55608, -57.12120"/>
    <n v="5"/>
    <n v="2025"/>
    <n v="8.5089754360000001"/>
    <n v="17.800888669999999"/>
    <n v="2.5283496090000002"/>
  </r>
  <r>
    <x v="16"/>
    <s v="48.55608, -57.12120"/>
    <n v="6"/>
    <n v="2024"/>
    <n v="16.94154022"/>
    <n v="22.991835940000001"/>
    <n v="13.553750000000001"/>
  </r>
  <r>
    <x v="16"/>
    <s v="48.55608, -57.12120"/>
    <n v="6"/>
    <n v="2025"/>
    <n v="14.729370039999999"/>
    <n v="21.104218750000001"/>
    <n v="9.8214160160000006"/>
  </r>
  <r>
    <x v="16"/>
    <s v="48.55608, -57.12120"/>
    <n v="7"/>
    <n v="2024"/>
    <n v="19.498683159999999"/>
    <n v="25.17975586"/>
    <n v="14.025654299999999"/>
  </r>
  <r>
    <x v="16"/>
    <s v="48.55608, -57.12120"/>
    <n v="8"/>
    <n v="2024"/>
    <n v="18.197544300000001"/>
    <n v="24.36464844"/>
    <n v="11.96643555"/>
  </r>
  <r>
    <x v="16"/>
    <s v="48.55608, -57.12120"/>
    <n v="9"/>
    <n v="2024"/>
    <n v="13.493570289999999"/>
    <n v="19.731406249999999"/>
    <n v="8.4915039060000002"/>
  </r>
  <r>
    <x v="16"/>
    <s v="48.55608, -57.12120"/>
    <n v="10"/>
    <n v="2024"/>
    <n v="7.9673003429999998"/>
    <n v="12.30963867"/>
    <n v="4.7591699219999999"/>
  </r>
  <r>
    <x v="16"/>
    <s v="48.55608, -57.12120"/>
    <n v="11"/>
    <n v="2024"/>
    <n v="5.3092588420000002"/>
    <n v="8.5773046879999999"/>
    <n v="2.3138476560000001"/>
  </r>
  <r>
    <x v="16"/>
    <s v="48.55608, -57.12120"/>
    <n v="12"/>
    <n v="2024"/>
    <n v="0.758650834"/>
    <n v="3.5150585940000001"/>
    <n v="8.3027344000000003E-2"/>
  </r>
  <r>
    <x v="17"/>
    <s v="48.94351, -56.04169"/>
    <n v="1"/>
    <n v="2025"/>
    <n v="0.223145555"/>
    <n v="0.769433594"/>
    <n v="4.0126953E-2"/>
  </r>
  <r>
    <x v="17"/>
    <s v="48.94351, -56.04169"/>
    <n v="2"/>
    <n v="2025"/>
    <n v="0.141313142"/>
    <n v="0.21172851600000001"/>
    <n v="8.3027344000000003E-2"/>
  </r>
  <r>
    <x v="17"/>
    <s v="48.94351, -56.04169"/>
    <n v="3"/>
    <n v="2025"/>
    <n v="0.96159039099999999"/>
    <n v="3.9011621089999999"/>
    <n v="4.0126953E-2"/>
  </r>
  <r>
    <x v="17"/>
    <s v="48.94351, -56.04169"/>
    <n v="4"/>
    <n v="2025"/>
    <n v="4.458152181"/>
    <n v="8.4915039060000002"/>
    <n v="0.29752929700000003"/>
  </r>
  <r>
    <x v="17"/>
    <s v="48.94351, -56.04169"/>
    <n v="5"/>
    <n v="2025"/>
    <n v="11.539968760000001"/>
    <n v="20.160410160000001"/>
    <n v="5.1452734370000002"/>
  </r>
  <r>
    <x v="17"/>
    <s v="48.94351, -56.04169"/>
    <n v="6"/>
    <n v="2024"/>
    <n v="19.89440596"/>
    <n v="31.271611329999999"/>
    <n v="16.256474610000001"/>
  </r>
  <r>
    <x v="17"/>
    <s v="48.94351, -56.04169"/>
    <n v="6"/>
    <n v="2025"/>
    <n v="17.733201390000001"/>
    <n v="23.37793945"/>
    <n v="12.91024414"/>
  </r>
  <r>
    <x v="17"/>
    <s v="48.94351, -56.04169"/>
    <n v="7"/>
    <n v="2024"/>
    <n v="22.477088909999999"/>
    <n v="28.483085939999999"/>
    <n v="16.72837891"/>
  </r>
  <r>
    <x v="17"/>
    <s v="48.94351, -56.04169"/>
    <n v="7"/>
    <n v="2025"/>
    <n v="20.204925079999999"/>
    <n v="27.882480470000001"/>
    <n v="13.76825195"/>
  </r>
  <r>
    <x v="17"/>
    <s v="48.94351, -56.04169"/>
    <n v="8"/>
    <n v="2024"/>
    <n v="19.92607254"/>
    <n v="26.809970700000001"/>
    <n v="14.19725586"/>
  </r>
  <r>
    <x v="17"/>
    <s v="48.94351, -56.04169"/>
    <n v="8"/>
    <n v="2025"/>
    <n v="19.13900233"/>
    <n v="23.978544920000001"/>
    <n v="15.012363280000001"/>
  </r>
  <r>
    <x v="17"/>
    <s v="48.94351, -56.04169"/>
    <n v="9"/>
    <n v="2024"/>
    <n v="15.891761710000001"/>
    <n v="22.34833008"/>
    <n v="10.89392578"/>
  </r>
  <r>
    <x v="17"/>
    <s v="48.94351, -56.04169"/>
    <n v="10"/>
    <n v="2024"/>
    <n v="8.9310599249999996"/>
    <n v="13.38214844"/>
    <n v="3.9011621089999999"/>
  </r>
  <r>
    <x v="17"/>
    <s v="48.94351, -56.04169"/>
    <n v="11"/>
    <n v="2024"/>
    <n v="4.7582179020000002"/>
    <n v="7.333193359"/>
    <n v="1.627441406"/>
  </r>
  <r>
    <x v="17"/>
    <s v="48.94351, -56.04169"/>
    <n v="12"/>
    <n v="2024"/>
    <n v="0.41965702199999999"/>
    <n v="2.828652344"/>
    <n v="8.3027344000000003E-2"/>
  </r>
  <r>
    <x v="18"/>
    <s v="48.85622, -55.73744"/>
    <n v="1"/>
    <n v="2025"/>
    <n v="0.40529923000000001"/>
    <n v="2.9144531250000001"/>
    <n v="8.3027344000000003E-2"/>
  </r>
  <r>
    <x v="18"/>
    <s v="48.85622, -55.73744"/>
    <n v="2"/>
    <n v="2025"/>
    <n v="0.161997259"/>
    <n v="0.25462890599999999"/>
    <n v="8.3027344000000003E-2"/>
  </r>
  <r>
    <x v="18"/>
    <s v="48.85622, -55.73744"/>
    <n v="3"/>
    <n v="2025"/>
    <n v="1.333605487"/>
    <n v="5.4026757810000001"/>
    <n v="8.3027344000000003E-2"/>
  </r>
  <r>
    <x v="18"/>
    <s v="48.85622, -55.73744"/>
    <n v="4"/>
    <n v="2025"/>
    <n v="4.2206508520000003"/>
    <n v="8.9205078130000004"/>
    <n v="0.72653320300000002"/>
  </r>
  <r>
    <x v="18"/>
    <s v="48.85622, -55.73744"/>
    <n v="5"/>
    <n v="2025"/>
    <n v="10.6968377"/>
    <n v="18.787597659999999"/>
    <n v="4.8020703129999998"/>
  </r>
  <r>
    <x v="18"/>
    <s v="48.85622, -55.73744"/>
    <n v="6"/>
    <n v="2024"/>
    <n v="18.882430100000001"/>
    <n v="30.542304690000002"/>
    <n v="14.068554689999999"/>
  </r>
  <r>
    <x v="18"/>
    <s v="48.85622, -55.73744"/>
    <n v="6"/>
    <n v="2025"/>
    <n v="16.756800420000001"/>
    <n v="21.919326170000001"/>
    <n v="11.79483398"/>
  </r>
  <r>
    <x v="18"/>
    <s v="48.85622, -55.73744"/>
    <n v="7"/>
    <n v="2024"/>
    <n v="21.927975440000001"/>
    <n v="29.512695310000002"/>
    <n v="14.669160160000001"/>
  </r>
  <r>
    <x v="18"/>
    <s v="48.85622, -55.73744"/>
    <n v="7"/>
    <n v="2025"/>
    <n v="20.264835699999999"/>
    <n v="25.866162110000001"/>
    <n v="15.012363280000001"/>
  </r>
  <r>
    <x v="18"/>
    <s v="48.85622, -55.73744"/>
    <n v="8"/>
    <n v="2024"/>
    <n v="20.12569774"/>
    <n v="27.15317383"/>
    <n v="12.35253906"/>
  </r>
  <r>
    <x v="18"/>
    <s v="48.85622, -55.73744"/>
    <n v="8"/>
    <n v="2025"/>
    <n v="20.878128759999999"/>
    <n v="26.03776367"/>
    <n v="16.72837891"/>
  </r>
  <r>
    <x v="18"/>
    <s v="48.85622, -55.73744"/>
    <n v="9"/>
    <n v="2024"/>
    <n v="15.695313670000001"/>
    <n v="23.24923828"/>
    <n v="9.0492089839999998"/>
  </r>
  <r>
    <x v="18"/>
    <s v="48.85622, -55.73744"/>
    <n v="10"/>
    <n v="2024"/>
    <n v="8.6775209229999994"/>
    <n v="13.253447270000001"/>
    <n v="3.0002539060000002"/>
  </r>
  <r>
    <x v="18"/>
    <s v="48.85622, -55.73744"/>
    <n v="11"/>
    <n v="2024"/>
    <n v="4.9265468969999997"/>
    <n v="7.8479980469999999"/>
    <n v="1.1984375"/>
  </r>
  <r>
    <x v="18"/>
    <s v="48.85622, -55.73744"/>
    <n v="12"/>
    <n v="2024"/>
    <n v="0.58387787199999996"/>
    <n v="5.9603808589999998"/>
    <n v="8.3027344000000003E-2"/>
  </r>
  <r>
    <x v="1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emperature" cacheId="4" applyNumberFormats="0" applyBorderFormats="0" applyFontFormats="0" applyPatternFormats="0" applyAlignmentFormats="0" applyWidthHeightFormats="0" dataCaption="" updatedVersion="8" compact="0" compactData="0">
  <location ref="I6:L28" firstHeaderRow="1" firstDataRow="2" firstDataCol="1"/>
  <pivotFields count="7">
    <pivotField name="Location" axis="axisRow" compact="0" outline="0" multipleItemSelectionAllowed="1" showAll="0" sortType="ascending">
      <items count="21">
        <item x="11"/>
        <item x="16"/>
        <item x="1"/>
        <item x="2"/>
        <item x="12"/>
        <item x="3"/>
        <item x="0"/>
        <item x="4"/>
        <item x="5"/>
        <item x="13"/>
        <item x="6"/>
        <item x="17"/>
        <item x="7"/>
        <item x="8"/>
        <item x="14"/>
        <item x="15"/>
        <item x="9"/>
        <item x="18"/>
        <item x="10"/>
        <item x="19"/>
        <item t="default"/>
      </items>
    </pivotField>
    <pivotField name="Coordinates" compact="0" outline="0" multipleItemSelectionAllowed="1" showAll="0"/>
    <pivotField name="month" compact="0" outline="0" multipleItemSelectionAllowed="1" showAll="0"/>
    <pivotField name="year" compact="0" outline="0" multipleItemSelectionAllowed="1" showAll="0"/>
    <pivotField name="mean_t" dataField="1" compact="0" outline="0" multipleItemSelectionAllowed="1" showAll="0"/>
    <pivotField name="max_t" dataField="1" compact="0" outline="0" multipleItemSelectionAllowed="1" showAll="0"/>
    <pivotField name="min_t" dataField="1" compact="0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in_t" fld="6" subtotal="average" baseField="0"/>
    <dataField name="AVERAGE of max_t" fld="5" subtotal="average" baseField="0"/>
    <dataField name="AVERAGE of mean_t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1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4" sqref="I14"/>
    </sheetView>
  </sheetViews>
  <sheetFormatPr baseColWidth="10" defaultColWidth="12.6640625" defaultRowHeight="15.75" customHeight="1" x14ac:dyDescent="0.15"/>
  <cols>
    <col min="1" max="1" width="3" customWidth="1"/>
    <col min="2" max="2" width="10.6640625" customWidth="1"/>
    <col min="3" max="3" width="16.6640625" customWidth="1"/>
    <col min="4" max="4" width="23.33203125" customWidth="1"/>
    <col min="5" max="7" width="29.33203125" customWidth="1"/>
    <col min="8" max="8" width="63.6640625" customWidth="1"/>
    <col min="9" max="9" width="62.5" customWidth="1"/>
    <col min="10" max="10" width="84.1640625" customWidth="1"/>
  </cols>
  <sheetData>
    <row r="1" spans="1:14" ht="1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38" t="s">
        <v>306</v>
      </c>
      <c r="G1" s="38" t="s">
        <v>307</v>
      </c>
      <c r="H1" s="2" t="s">
        <v>4</v>
      </c>
      <c r="I1" s="2" t="s">
        <v>5</v>
      </c>
      <c r="J1" s="42" t="s">
        <v>6</v>
      </c>
      <c r="K1" s="1"/>
      <c r="L1" s="1"/>
      <c r="M1" s="1"/>
      <c r="N1" s="1"/>
    </row>
    <row r="2" spans="1:14" ht="15.75" customHeight="1" x14ac:dyDescent="0.15">
      <c r="A2" s="3">
        <v>1</v>
      </c>
      <c r="B2" s="3" t="s">
        <v>7</v>
      </c>
      <c r="C2" s="4">
        <v>45824</v>
      </c>
      <c r="D2" s="5" t="s">
        <v>8</v>
      </c>
      <c r="E2" s="6" t="s">
        <v>9</v>
      </c>
      <c r="F2" s="6" t="str">
        <f>"-"&amp;RIGHT(D2,8)</f>
        <v>-55.64848</v>
      </c>
      <c r="G2" s="6" t="str">
        <f>MID(D2,2,8)</f>
        <v>48.91701</v>
      </c>
      <c r="H2" s="7">
        <v>3985.4730339887719</v>
      </c>
      <c r="I2" s="8"/>
      <c r="J2" s="9"/>
    </row>
    <row r="3" spans="1:14" ht="15.75" customHeight="1" x14ac:dyDescent="0.15">
      <c r="A3" s="3">
        <v>2</v>
      </c>
      <c r="B3" s="3" t="s">
        <v>10</v>
      </c>
      <c r="C3" s="4">
        <v>45825</v>
      </c>
      <c r="D3" s="5" t="s">
        <v>11</v>
      </c>
      <c r="E3" s="6" t="s">
        <v>12</v>
      </c>
      <c r="F3" s="6" t="str">
        <f t="shared" ref="F3:F59" si="0">"-"&amp;RIGHT(D3,8)</f>
        <v>-56.01231</v>
      </c>
      <c r="G3" s="6" t="str">
        <f t="shared" ref="G3:G59" si="1">MID(D3,2,8)</f>
        <v>48.89357</v>
      </c>
      <c r="H3" s="7">
        <v>3930.2550727358434</v>
      </c>
      <c r="I3" s="8"/>
      <c r="J3" s="9"/>
    </row>
    <row r="4" spans="1:14" ht="15.75" customHeight="1" x14ac:dyDescent="0.15">
      <c r="A4" s="3">
        <v>3</v>
      </c>
      <c r="B4" s="3" t="s">
        <v>13</v>
      </c>
      <c r="C4" s="4">
        <v>45826</v>
      </c>
      <c r="D4" s="5" t="s">
        <v>14</v>
      </c>
      <c r="E4" s="6" t="s">
        <v>15</v>
      </c>
      <c r="F4" s="6" t="str">
        <f t="shared" si="0"/>
        <v>-56.23413</v>
      </c>
      <c r="G4" s="6" t="str">
        <f t="shared" si="1"/>
        <v>48.75180</v>
      </c>
      <c r="H4" s="7">
        <v>11961.436866884322</v>
      </c>
      <c r="I4" s="8"/>
      <c r="J4" s="9"/>
    </row>
    <row r="5" spans="1:14" ht="15.75" customHeight="1" x14ac:dyDescent="0.15">
      <c r="A5" s="3">
        <v>4</v>
      </c>
      <c r="B5" s="3" t="s">
        <v>16</v>
      </c>
      <c r="C5" s="4">
        <v>45827</v>
      </c>
      <c r="D5" s="5" t="s">
        <v>17</v>
      </c>
      <c r="E5" s="6" t="s">
        <v>18</v>
      </c>
      <c r="F5" s="6" t="str">
        <f t="shared" si="0"/>
        <v>-55.38828</v>
      </c>
      <c r="G5" s="6" t="str">
        <f t="shared" si="1"/>
        <v>48.98091</v>
      </c>
      <c r="H5" s="7">
        <v>1976.575</v>
      </c>
      <c r="I5" s="8"/>
      <c r="J5" s="9"/>
    </row>
    <row r="6" spans="1:14" ht="15.75" customHeight="1" x14ac:dyDescent="0.15">
      <c r="A6" s="3">
        <v>5</v>
      </c>
      <c r="B6" s="3" t="s">
        <v>19</v>
      </c>
      <c r="C6" s="4">
        <v>45829</v>
      </c>
      <c r="D6" s="5" t="s">
        <v>20</v>
      </c>
      <c r="E6" s="6" t="s">
        <v>21</v>
      </c>
      <c r="F6" s="6" t="str">
        <f t="shared" si="0"/>
        <v>-55.55503</v>
      </c>
      <c r="G6" s="6" t="str">
        <f t="shared" si="1"/>
        <v>48.90750</v>
      </c>
      <c r="H6" s="7">
        <v>3614.9780829906977</v>
      </c>
      <c r="I6" s="8"/>
      <c r="J6" s="9"/>
    </row>
    <row r="7" spans="1:14" ht="15.75" customHeight="1" x14ac:dyDescent="0.15">
      <c r="A7" s="3">
        <v>6</v>
      </c>
      <c r="B7" s="3" t="s">
        <v>22</v>
      </c>
      <c r="C7" s="4">
        <v>45831</v>
      </c>
      <c r="D7" s="5" t="s">
        <v>23</v>
      </c>
      <c r="E7" s="6" t="s">
        <v>24</v>
      </c>
      <c r="F7" s="6" t="str">
        <f t="shared" si="0"/>
        <v>-55.52757</v>
      </c>
      <c r="G7" s="6" t="str">
        <f t="shared" si="1"/>
        <v>48.74886</v>
      </c>
      <c r="H7" s="7">
        <v>3425.5586527293826</v>
      </c>
      <c r="I7" s="8"/>
      <c r="J7" s="9"/>
    </row>
    <row r="8" spans="1:14" ht="15.75" customHeight="1" x14ac:dyDescent="0.15">
      <c r="A8" s="3">
        <v>7</v>
      </c>
      <c r="B8" s="3" t="s">
        <v>25</v>
      </c>
      <c r="C8" s="4">
        <v>45832</v>
      </c>
      <c r="D8" s="5" t="s">
        <v>26</v>
      </c>
      <c r="E8" s="6" t="s">
        <v>27</v>
      </c>
      <c r="F8" s="6" t="str">
        <f t="shared" si="0"/>
        <v>-56.47289</v>
      </c>
      <c r="G8" s="6" t="str">
        <f t="shared" si="1"/>
        <v>48.84579</v>
      </c>
      <c r="H8" s="7">
        <v>4001.2380952381</v>
      </c>
      <c r="I8" s="8"/>
      <c r="J8" s="9"/>
    </row>
    <row r="9" spans="1:14" ht="15.75" customHeight="1" x14ac:dyDescent="0.15">
      <c r="A9" s="3">
        <v>8</v>
      </c>
      <c r="B9" s="3" t="s">
        <v>28</v>
      </c>
      <c r="C9" s="4">
        <v>45834</v>
      </c>
      <c r="D9" s="5" t="s">
        <v>29</v>
      </c>
      <c r="E9" s="6" t="s">
        <v>30</v>
      </c>
      <c r="F9" s="6" t="str">
        <f t="shared" si="0"/>
        <v>-56.95130</v>
      </c>
      <c r="G9" s="6" t="str">
        <f t="shared" si="1"/>
        <v>48.68256</v>
      </c>
      <c r="H9" s="7">
        <v>5679.6953571428403</v>
      </c>
      <c r="I9" s="8"/>
      <c r="J9" s="9"/>
    </row>
    <row r="10" spans="1:14" ht="15.75" customHeight="1" x14ac:dyDescent="0.15">
      <c r="A10" s="3">
        <v>9</v>
      </c>
      <c r="B10" s="3" t="s">
        <v>31</v>
      </c>
      <c r="C10" s="4">
        <v>45835</v>
      </c>
      <c r="D10" s="6" t="s">
        <v>32</v>
      </c>
      <c r="E10" s="6" t="s">
        <v>33</v>
      </c>
      <c r="F10" s="6" t="str">
        <f t="shared" si="0"/>
        <v>-56.91361</v>
      </c>
      <c r="G10" s="6" t="str">
        <f t="shared" si="1"/>
        <v>48.64014</v>
      </c>
      <c r="H10" s="7">
        <v>3961.4275432900399</v>
      </c>
      <c r="I10" s="8"/>
      <c r="J10" s="9"/>
    </row>
    <row r="11" spans="1:14" ht="15.75" customHeight="1" x14ac:dyDescent="0.15">
      <c r="A11" s="3">
        <v>10</v>
      </c>
      <c r="B11" s="3" t="s">
        <v>34</v>
      </c>
      <c r="C11" s="4">
        <v>45836</v>
      </c>
      <c r="D11" s="5" t="s">
        <v>35</v>
      </c>
      <c r="E11" s="6" t="s">
        <v>36</v>
      </c>
      <c r="F11" s="6" t="str">
        <f t="shared" si="0"/>
        <v>-56.01804</v>
      </c>
      <c r="G11" s="6" t="str">
        <f t="shared" si="1"/>
        <v>48.97447</v>
      </c>
      <c r="H11" s="7">
        <v>9054.4579365079189</v>
      </c>
      <c r="I11" s="8"/>
      <c r="J11" s="9"/>
    </row>
    <row r="12" spans="1:14" ht="15.75" customHeight="1" x14ac:dyDescent="0.15">
      <c r="A12" s="3">
        <v>11</v>
      </c>
      <c r="B12" s="3" t="s">
        <v>37</v>
      </c>
      <c r="C12" s="4">
        <v>45837</v>
      </c>
      <c r="D12" s="5" t="s">
        <v>38</v>
      </c>
      <c r="E12" s="6" t="s">
        <v>39</v>
      </c>
      <c r="F12" s="6" t="str">
        <f t="shared" si="0"/>
        <v>-55.50529</v>
      </c>
      <c r="G12" s="6" t="str">
        <f t="shared" si="1"/>
        <v>48.94477</v>
      </c>
      <c r="H12" s="7">
        <v>11322.049382716048</v>
      </c>
      <c r="I12" s="8"/>
      <c r="J12" s="9"/>
    </row>
    <row r="13" spans="1:14" ht="15.75" customHeight="1" x14ac:dyDescent="0.15">
      <c r="A13" s="3">
        <v>12</v>
      </c>
      <c r="B13" s="3" t="s">
        <v>40</v>
      </c>
      <c r="C13" s="4">
        <v>45838</v>
      </c>
      <c r="D13" s="5" t="s">
        <v>41</v>
      </c>
      <c r="E13" s="6" t="s">
        <v>42</v>
      </c>
      <c r="F13" s="6" t="str">
        <f t="shared" si="0"/>
        <v>-56.59022</v>
      </c>
      <c r="G13" s="6" t="str">
        <f t="shared" si="1"/>
        <v>48.75338</v>
      </c>
      <c r="H13" s="7">
        <v>3788.6571428571374</v>
      </c>
      <c r="I13" s="8"/>
      <c r="J13" s="9"/>
    </row>
    <row r="14" spans="1:14" ht="15.75" customHeight="1" x14ac:dyDescent="0.15">
      <c r="A14" s="3">
        <v>13</v>
      </c>
      <c r="B14" s="3" t="s">
        <v>43</v>
      </c>
      <c r="C14" s="4">
        <v>45839</v>
      </c>
      <c r="D14" s="5" t="s">
        <v>44</v>
      </c>
      <c r="E14" s="6" t="s">
        <v>45</v>
      </c>
      <c r="F14" s="6" t="str">
        <f t="shared" si="0"/>
        <v>-55.48917</v>
      </c>
      <c r="G14" s="6" t="str">
        <f t="shared" si="1"/>
        <v>48.87520</v>
      </c>
      <c r="H14" s="7">
        <v>7035.6480549199096</v>
      </c>
      <c r="I14" s="8"/>
      <c r="J14" s="9"/>
    </row>
    <row r="15" spans="1:14" ht="16" x14ac:dyDescent="0.2">
      <c r="A15" s="3">
        <v>14</v>
      </c>
      <c r="B15" s="5" t="s">
        <v>46</v>
      </c>
      <c r="C15" s="4">
        <v>45477</v>
      </c>
      <c r="D15" s="6" t="s">
        <v>47</v>
      </c>
      <c r="E15" s="6" t="s">
        <v>48</v>
      </c>
      <c r="F15" s="6" t="str">
        <f t="shared" si="0"/>
        <v>-55.58949</v>
      </c>
      <c r="G15" s="6" t="str">
        <f>MID(D15,3,8)</f>
        <v>49.08780</v>
      </c>
      <c r="H15" s="10">
        <v>1582</v>
      </c>
      <c r="I15" s="10">
        <v>559</v>
      </c>
      <c r="J15" s="11">
        <v>2.9333330000000001E-2</v>
      </c>
    </row>
    <row r="16" spans="1:14" ht="16" x14ac:dyDescent="0.2">
      <c r="A16" s="3">
        <v>15</v>
      </c>
      <c r="B16" s="3" t="s">
        <v>49</v>
      </c>
      <c r="C16" s="4">
        <v>45470</v>
      </c>
      <c r="D16" s="6" t="s">
        <v>50</v>
      </c>
      <c r="E16" s="6" t="s">
        <v>51</v>
      </c>
      <c r="F16" s="6" t="str">
        <f t="shared" si="0"/>
        <v>-56.79710</v>
      </c>
      <c r="G16" s="6" t="str">
        <f t="shared" ref="G16:G59" si="2">MID(D16,3,8)</f>
        <v>48.46088</v>
      </c>
      <c r="H16" s="10">
        <v>3129</v>
      </c>
      <c r="I16" s="10">
        <v>970</v>
      </c>
      <c r="J16" s="11">
        <v>0.495</v>
      </c>
    </row>
    <row r="17" spans="1:10" ht="16" x14ac:dyDescent="0.2">
      <c r="A17" s="3">
        <v>16</v>
      </c>
      <c r="B17" s="3" t="s">
        <v>52</v>
      </c>
      <c r="C17" s="4">
        <v>45464</v>
      </c>
      <c r="D17" s="6" t="s">
        <v>53</v>
      </c>
      <c r="E17" s="6" t="s">
        <v>54</v>
      </c>
      <c r="F17" s="6" t="str">
        <f t="shared" si="0"/>
        <v>-56.34280</v>
      </c>
      <c r="G17" s="6" t="str">
        <f t="shared" si="2"/>
        <v>48.61591</v>
      </c>
      <c r="H17" s="10">
        <v>1755</v>
      </c>
      <c r="I17" s="10">
        <v>535</v>
      </c>
      <c r="J17" s="11">
        <v>2.1666669999999999E-2</v>
      </c>
    </row>
    <row r="18" spans="1:10" ht="16" x14ac:dyDescent="0.2">
      <c r="A18" s="3">
        <v>17</v>
      </c>
      <c r="B18" s="3" t="s">
        <v>55</v>
      </c>
      <c r="C18" s="4">
        <v>45453</v>
      </c>
      <c r="D18" s="6" t="s">
        <v>56</v>
      </c>
      <c r="E18" s="6" t="s">
        <v>57</v>
      </c>
      <c r="F18" s="6" t="str">
        <f t="shared" si="0"/>
        <v>-56.19398</v>
      </c>
      <c r="G18" s="6" t="str">
        <f t="shared" si="2"/>
        <v>48.65636</v>
      </c>
      <c r="H18" s="10">
        <v>1084</v>
      </c>
      <c r="I18" s="10">
        <v>195</v>
      </c>
      <c r="J18" s="11">
        <v>3.066667E-2</v>
      </c>
    </row>
    <row r="19" spans="1:10" ht="16" x14ac:dyDescent="0.2">
      <c r="A19" s="3">
        <v>18</v>
      </c>
      <c r="B19" s="3" t="s">
        <v>58</v>
      </c>
      <c r="C19" s="4">
        <v>45447</v>
      </c>
      <c r="D19" s="6" t="s">
        <v>59</v>
      </c>
      <c r="E19" s="6" t="s">
        <v>60</v>
      </c>
      <c r="F19" s="6" t="str">
        <f t="shared" si="0"/>
        <v>-55.39803</v>
      </c>
      <c r="G19" s="6" t="str">
        <f t="shared" si="2"/>
        <v>49.02197</v>
      </c>
      <c r="H19" s="10">
        <v>357</v>
      </c>
      <c r="I19" s="10">
        <v>140</v>
      </c>
      <c r="J19" s="11">
        <v>1.7000000000000001E-2</v>
      </c>
    </row>
    <row r="20" spans="1:10" ht="16" x14ac:dyDescent="0.2">
      <c r="A20" s="3">
        <v>19</v>
      </c>
      <c r="B20" s="3" t="s">
        <v>61</v>
      </c>
      <c r="C20" s="4">
        <v>45446</v>
      </c>
      <c r="D20" s="6" t="s">
        <v>62</v>
      </c>
      <c r="E20" s="6" t="s">
        <v>63</v>
      </c>
      <c r="F20" s="6" t="str">
        <f t="shared" si="0"/>
        <v>-55.64824</v>
      </c>
      <c r="G20" s="6" t="str">
        <f t="shared" si="2"/>
        <v>48.91798</v>
      </c>
      <c r="H20" s="10">
        <v>95</v>
      </c>
      <c r="I20" s="10">
        <v>49</v>
      </c>
      <c r="J20" s="11">
        <v>2.9666669999999999E-2</v>
      </c>
    </row>
    <row r="21" spans="1:10" ht="16" x14ac:dyDescent="0.2">
      <c r="A21" s="3">
        <v>20</v>
      </c>
      <c r="B21" s="3" t="s">
        <v>64</v>
      </c>
      <c r="C21" s="4">
        <v>45457</v>
      </c>
      <c r="D21" s="6" t="s">
        <v>65</v>
      </c>
      <c r="E21" s="6" t="s">
        <v>66</v>
      </c>
      <c r="F21" s="6" t="str">
        <f t="shared" si="0"/>
        <v>-56.04303</v>
      </c>
      <c r="G21" s="6" t="str">
        <f t="shared" si="2"/>
        <v>48.94168</v>
      </c>
      <c r="H21" s="10">
        <v>1302</v>
      </c>
      <c r="I21" s="10">
        <v>154</v>
      </c>
      <c r="J21" s="11">
        <v>5.8000000000000003E-2</v>
      </c>
    </row>
    <row r="22" spans="1:10" ht="16" x14ac:dyDescent="0.2">
      <c r="A22" s="3">
        <v>21</v>
      </c>
      <c r="B22" s="3" t="s">
        <v>67</v>
      </c>
      <c r="C22" s="4">
        <v>45479</v>
      </c>
      <c r="D22" s="6" t="s">
        <v>68</v>
      </c>
      <c r="E22" s="6" t="s">
        <v>69</v>
      </c>
      <c r="F22" s="6" t="str">
        <f t="shared" si="0"/>
        <v>-55.40392</v>
      </c>
      <c r="G22" s="6" t="str">
        <f t="shared" si="2"/>
        <v>49.24865</v>
      </c>
      <c r="H22" s="10">
        <v>806</v>
      </c>
      <c r="I22" s="10">
        <v>388</v>
      </c>
      <c r="J22" s="11">
        <v>5.2333329999999997E-2</v>
      </c>
    </row>
    <row r="23" spans="1:10" ht="16" x14ac:dyDescent="0.2">
      <c r="A23" s="3">
        <v>22</v>
      </c>
      <c r="B23" s="3" t="s">
        <v>70</v>
      </c>
      <c r="C23" s="4">
        <v>45450</v>
      </c>
      <c r="D23" s="6" t="s">
        <v>71</v>
      </c>
      <c r="E23" s="6" t="s">
        <v>72</v>
      </c>
      <c r="F23" s="6" t="str">
        <f t="shared" si="0"/>
        <v>-55.53745</v>
      </c>
      <c r="G23" s="6" t="str">
        <f t="shared" si="2"/>
        <v>48.91158</v>
      </c>
      <c r="H23" s="10">
        <v>1067</v>
      </c>
      <c r="I23" s="10">
        <v>208</v>
      </c>
      <c r="J23" s="11">
        <v>1.1666670000000001E-2</v>
      </c>
    </row>
    <row r="24" spans="1:10" ht="16" x14ac:dyDescent="0.2">
      <c r="A24" s="3">
        <v>23</v>
      </c>
      <c r="B24" s="3" t="s">
        <v>73</v>
      </c>
      <c r="C24" s="4">
        <v>45461</v>
      </c>
      <c r="D24" s="6" t="s">
        <v>74</v>
      </c>
      <c r="E24" s="6" t="s">
        <v>75</v>
      </c>
      <c r="F24" s="6" t="str">
        <f t="shared" si="0"/>
        <v>-55.48946</v>
      </c>
      <c r="G24" s="6" t="str">
        <f t="shared" si="2"/>
        <v>48.81880</v>
      </c>
      <c r="H24" s="10">
        <v>1382</v>
      </c>
      <c r="I24" s="10">
        <v>533</v>
      </c>
      <c r="J24" s="11">
        <v>2.833333E-2</v>
      </c>
    </row>
    <row r="25" spans="1:10" ht="16" x14ac:dyDescent="0.2">
      <c r="A25" s="3">
        <v>24</v>
      </c>
      <c r="B25" s="3" t="s">
        <v>76</v>
      </c>
      <c r="C25" s="4">
        <v>45475</v>
      </c>
      <c r="D25" s="6" t="s">
        <v>77</v>
      </c>
      <c r="E25" s="6" t="s">
        <v>78</v>
      </c>
      <c r="F25" s="6" t="str">
        <f t="shared" si="0"/>
        <v>-56.59879</v>
      </c>
      <c r="G25" s="6" t="str">
        <f t="shared" si="2"/>
        <v>48.74133</v>
      </c>
      <c r="H25" s="10">
        <v>1520</v>
      </c>
      <c r="I25" s="10">
        <v>456</v>
      </c>
      <c r="J25" s="11">
        <v>4.5999999999999999E-2</v>
      </c>
    </row>
    <row r="26" spans="1:10" ht="16" x14ac:dyDescent="0.2">
      <c r="A26" s="3">
        <v>25</v>
      </c>
      <c r="B26" s="3" t="s">
        <v>79</v>
      </c>
      <c r="C26" s="4">
        <v>45473</v>
      </c>
      <c r="D26" s="6" t="s">
        <v>80</v>
      </c>
      <c r="E26" s="6" t="s">
        <v>81</v>
      </c>
      <c r="F26" s="6" t="str">
        <f t="shared" si="0"/>
        <v>-55.75333</v>
      </c>
      <c r="G26" s="6" t="str">
        <f t="shared" si="2"/>
        <v>48.81558</v>
      </c>
      <c r="H26" s="10">
        <v>436</v>
      </c>
      <c r="I26" s="10">
        <v>144</v>
      </c>
      <c r="J26" s="11">
        <v>3.1666670000000001E-2</v>
      </c>
    </row>
    <row r="27" spans="1:10" ht="16" x14ac:dyDescent="0.2">
      <c r="A27" s="3">
        <v>26</v>
      </c>
      <c r="B27" s="3" t="s">
        <v>82</v>
      </c>
      <c r="C27" s="4">
        <v>45455</v>
      </c>
      <c r="D27" s="6" t="s">
        <v>83</v>
      </c>
      <c r="E27" s="6" t="s">
        <v>84</v>
      </c>
      <c r="F27" s="6" t="str">
        <f t="shared" si="0"/>
        <v>-55.49938</v>
      </c>
      <c r="G27" s="6" t="str">
        <f t="shared" si="2"/>
        <v>48.77488</v>
      </c>
      <c r="H27" s="10">
        <v>644</v>
      </c>
      <c r="I27" s="10">
        <v>247</v>
      </c>
      <c r="J27" s="11">
        <v>5.8000000000000003E-2</v>
      </c>
    </row>
    <row r="28" spans="1:10" ht="16" x14ac:dyDescent="0.2">
      <c r="A28" s="3">
        <v>27</v>
      </c>
      <c r="B28" s="3" t="s">
        <v>85</v>
      </c>
      <c r="C28" s="4">
        <v>45455</v>
      </c>
      <c r="D28" s="6" t="s">
        <v>86</v>
      </c>
      <c r="E28" s="6" t="s">
        <v>87</v>
      </c>
      <c r="F28" s="6" t="str">
        <f t="shared" si="0"/>
        <v>-55.78043</v>
      </c>
      <c r="G28" s="6" t="str">
        <f t="shared" si="2"/>
        <v>48.85054</v>
      </c>
      <c r="H28" s="10">
        <v>1457</v>
      </c>
      <c r="I28" s="10">
        <v>700</v>
      </c>
      <c r="J28" s="11">
        <v>0.20399999999999999</v>
      </c>
    </row>
    <row r="29" spans="1:10" ht="16" x14ac:dyDescent="0.2">
      <c r="A29" s="3">
        <v>28</v>
      </c>
      <c r="B29" s="3" t="s">
        <v>88</v>
      </c>
      <c r="C29" s="4">
        <v>45458</v>
      </c>
      <c r="D29" s="6" t="s">
        <v>89</v>
      </c>
      <c r="E29" s="6" t="s">
        <v>90</v>
      </c>
      <c r="F29" s="6" t="str">
        <f t="shared" si="0"/>
        <v>-56.38787</v>
      </c>
      <c r="G29" s="6" t="str">
        <f t="shared" si="2"/>
        <v>48.76766</v>
      </c>
      <c r="H29" s="10">
        <v>1327</v>
      </c>
      <c r="I29" s="10">
        <v>283</v>
      </c>
      <c r="J29" s="11">
        <v>2.266667E-2</v>
      </c>
    </row>
    <row r="30" spans="1:10" ht="16" x14ac:dyDescent="0.2">
      <c r="A30" s="3">
        <v>29</v>
      </c>
      <c r="B30" s="3" t="s">
        <v>91</v>
      </c>
      <c r="C30" s="4">
        <v>45472</v>
      </c>
      <c r="D30" s="6" t="s">
        <v>92</v>
      </c>
      <c r="E30" s="6" t="s">
        <v>93</v>
      </c>
      <c r="F30" s="6" t="str">
        <f t="shared" si="0"/>
        <v>-56.92947</v>
      </c>
      <c r="G30" s="6" t="str">
        <f t="shared" si="2"/>
        <v>48.73885</v>
      </c>
      <c r="H30" s="10">
        <v>1077</v>
      </c>
      <c r="I30" s="10">
        <v>493</v>
      </c>
      <c r="J30" s="11">
        <v>3.9E-2</v>
      </c>
    </row>
    <row r="31" spans="1:10" ht="16" x14ac:dyDescent="0.2">
      <c r="A31" s="3">
        <v>30</v>
      </c>
      <c r="B31" s="3" t="s">
        <v>94</v>
      </c>
      <c r="C31" s="4">
        <v>45478</v>
      </c>
      <c r="D31" s="6" t="s">
        <v>95</v>
      </c>
      <c r="E31" s="6" t="s">
        <v>96</v>
      </c>
      <c r="F31" s="6" t="str">
        <f t="shared" si="0"/>
        <v>-55.47958</v>
      </c>
      <c r="G31" s="6" t="str">
        <f t="shared" si="2"/>
        <v>49.40464</v>
      </c>
      <c r="H31" s="10">
        <v>4479</v>
      </c>
      <c r="I31" s="10">
        <v>2128</v>
      </c>
      <c r="J31" s="12">
        <v>0.11033333333333301</v>
      </c>
    </row>
    <row r="32" spans="1:10" ht="16" x14ac:dyDescent="0.2">
      <c r="A32" s="3">
        <v>31</v>
      </c>
      <c r="B32" s="3" t="s">
        <v>97</v>
      </c>
      <c r="C32" s="4">
        <v>45461</v>
      </c>
      <c r="D32" s="6" t="s">
        <v>98</v>
      </c>
      <c r="E32" s="6" t="s">
        <v>99</v>
      </c>
      <c r="F32" s="6" t="str">
        <f t="shared" si="0"/>
        <v>-55.61086</v>
      </c>
      <c r="G32" s="6" t="str">
        <f t="shared" si="2"/>
        <v>48.92211</v>
      </c>
      <c r="H32" s="10">
        <v>210</v>
      </c>
      <c r="I32" s="10">
        <v>70</v>
      </c>
      <c r="J32" s="11">
        <v>1.9333329999999999E-2</v>
      </c>
    </row>
    <row r="33" spans="1:10" ht="16" x14ac:dyDescent="0.2">
      <c r="A33" s="3">
        <v>32</v>
      </c>
      <c r="B33" s="3" t="s">
        <v>100</v>
      </c>
      <c r="C33" s="4">
        <v>45474</v>
      </c>
      <c r="D33" s="6" t="s">
        <v>101</v>
      </c>
      <c r="E33" s="6" t="s">
        <v>102</v>
      </c>
      <c r="F33" s="6" t="str">
        <f t="shared" si="0"/>
        <v>-56.51104</v>
      </c>
      <c r="G33" s="6" t="str">
        <f t="shared" si="2"/>
        <v>48.68157</v>
      </c>
      <c r="H33" s="10">
        <v>2363</v>
      </c>
      <c r="I33" s="10">
        <v>1211</v>
      </c>
      <c r="J33" s="11">
        <v>8.9999999999999993E-3</v>
      </c>
    </row>
    <row r="34" spans="1:10" ht="16" x14ac:dyDescent="0.2">
      <c r="A34" s="3">
        <v>33</v>
      </c>
      <c r="B34" s="3" t="s">
        <v>103</v>
      </c>
      <c r="C34" s="4">
        <v>45451</v>
      </c>
      <c r="D34" s="6" t="s">
        <v>104</v>
      </c>
      <c r="E34" s="6" t="s">
        <v>105</v>
      </c>
      <c r="F34" s="6" t="str">
        <f t="shared" si="0"/>
        <v>-56.44006</v>
      </c>
      <c r="G34" s="6" t="str">
        <f t="shared" si="2"/>
        <v>48.86467</v>
      </c>
      <c r="H34" s="10">
        <v>1136</v>
      </c>
      <c r="I34" s="10">
        <v>167</v>
      </c>
      <c r="J34" s="11">
        <v>1.7000000000000001E-2</v>
      </c>
    </row>
    <row r="35" spans="1:10" ht="16" x14ac:dyDescent="0.2">
      <c r="A35" s="3">
        <v>34</v>
      </c>
      <c r="B35" s="3" t="s">
        <v>106</v>
      </c>
      <c r="C35" s="4">
        <v>45468</v>
      </c>
      <c r="D35" s="6" t="s">
        <v>107</v>
      </c>
      <c r="E35" s="6" t="s">
        <v>108</v>
      </c>
      <c r="F35" s="6" t="str">
        <f t="shared" si="0"/>
        <v>-56.82196</v>
      </c>
      <c r="G35" s="6" t="str">
        <f t="shared" si="2"/>
        <v>48.85604</v>
      </c>
      <c r="H35" s="10">
        <v>1822</v>
      </c>
      <c r="I35" s="10">
        <v>97</v>
      </c>
      <c r="J35" s="11">
        <v>7.0000000000000007E-2</v>
      </c>
    </row>
    <row r="36" spans="1:10" ht="16" x14ac:dyDescent="0.2">
      <c r="A36" s="3">
        <v>35</v>
      </c>
      <c r="B36" s="3" t="s">
        <v>109</v>
      </c>
      <c r="C36" s="4">
        <v>45479</v>
      </c>
      <c r="D36" s="6" t="s">
        <v>110</v>
      </c>
      <c r="E36" s="6" t="s">
        <v>111</v>
      </c>
      <c r="F36" s="6" t="str">
        <f t="shared" si="0"/>
        <v>-55.25319</v>
      </c>
      <c r="G36" s="6" t="str">
        <f t="shared" si="2"/>
        <v>49.34162</v>
      </c>
      <c r="H36" s="10">
        <v>5334</v>
      </c>
      <c r="I36" s="10">
        <v>1357</v>
      </c>
      <c r="J36" s="11">
        <v>6.0999999999999999E-2</v>
      </c>
    </row>
    <row r="37" spans="1:10" ht="16" x14ac:dyDescent="0.2">
      <c r="A37" s="3">
        <v>36</v>
      </c>
      <c r="B37" s="3" t="s">
        <v>112</v>
      </c>
      <c r="C37" s="4">
        <v>45478</v>
      </c>
      <c r="D37" s="6" t="s">
        <v>113</v>
      </c>
      <c r="E37" s="6" t="s">
        <v>114</v>
      </c>
      <c r="F37" s="6" t="str">
        <f t="shared" si="0"/>
        <v>-55.46670</v>
      </c>
      <c r="G37" s="6" t="str">
        <f t="shared" si="2"/>
        <v>49.34763</v>
      </c>
      <c r="H37" s="10">
        <v>514</v>
      </c>
      <c r="I37" s="10">
        <v>267</v>
      </c>
      <c r="J37" s="11">
        <v>6.7333329999999997E-2</v>
      </c>
    </row>
    <row r="38" spans="1:10" ht="16" x14ac:dyDescent="0.2">
      <c r="A38" s="3">
        <v>37</v>
      </c>
      <c r="B38" s="3" t="s">
        <v>115</v>
      </c>
      <c r="C38" s="4">
        <v>45448</v>
      </c>
      <c r="D38" s="6" t="s">
        <v>116</v>
      </c>
      <c r="E38" s="6" t="s">
        <v>117</v>
      </c>
      <c r="F38" s="6" t="str">
        <f t="shared" si="0"/>
        <v>-56.10947</v>
      </c>
      <c r="G38" s="6" t="str">
        <f t="shared" si="2"/>
        <v>49.06106</v>
      </c>
      <c r="H38" s="10">
        <v>758</v>
      </c>
      <c r="I38" s="10">
        <v>212</v>
      </c>
      <c r="J38" s="12">
        <v>0.110666666666666</v>
      </c>
    </row>
    <row r="39" spans="1:10" ht="16" x14ac:dyDescent="0.2">
      <c r="A39" s="3">
        <v>38</v>
      </c>
      <c r="B39" s="3" t="s">
        <v>118</v>
      </c>
      <c r="C39" s="4">
        <v>45471</v>
      </c>
      <c r="D39" s="6" t="s">
        <v>119</v>
      </c>
      <c r="E39" s="6" t="s">
        <v>120</v>
      </c>
      <c r="F39" s="6" t="str">
        <f t="shared" si="0"/>
        <v>-55.63019</v>
      </c>
      <c r="G39" s="6" t="str">
        <f t="shared" si="2"/>
        <v>48.70595</v>
      </c>
      <c r="H39" s="10">
        <v>1479</v>
      </c>
      <c r="I39" s="10">
        <v>370</v>
      </c>
      <c r="J39" s="11">
        <v>5.2333329999999997E-2</v>
      </c>
    </row>
    <row r="40" spans="1:10" ht="16" x14ac:dyDescent="0.2">
      <c r="A40" s="3">
        <v>39</v>
      </c>
      <c r="B40" s="3" t="s">
        <v>121</v>
      </c>
      <c r="C40" s="4">
        <v>45462</v>
      </c>
      <c r="D40" s="6" t="s">
        <v>122</v>
      </c>
      <c r="E40" s="6" t="s">
        <v>123</v>
      </c>
      <c r="F40" s="6" t="str">
        <f t="shared" si="0"/>
        <v>-56.24922</v>
      </c>
      <c r="G40" s="6" t="str">
        <f t="shared" si="2"/>
        <v>48.74871</v>
      </c>
      <c r="H40" s="10">
        <v>1156</v>
      </c>
      <c r="I40" s="10">
        <v>315</v>
      </c>
      <c r="J40" s="11">
        <v>0.03</v>
      </c>
    </row>
    <row r="41" spans="1:10" ht="16" x14ac:dyDescent="0.2">
      <c r="A41" s="3">
        <v>40</v>
      </c>
      <c r="B41" s="3" t="s">
        <v>124</v>
      </c>
      <c r="C41" s="4">
        <v>45481</v>
      </c>
      <c r="D41" s="6" t="s">
        <v>125</v>
      </c>
      <c r="E41" s="6" t="s">
        <v>126</v>
      </c>
      <c r="F41" s="6" t="str">
        <f t="shared" si="0"/>
        <v>-55.79738</v>
      </c>
      <c r="G41" s="6" t="str">
        <f t="shared" si="2"/>
        <v>48.91359</v>
      </c>
      <c r="H41" s="10">
        <v>1297</v>
      </c>
      <c r="I41" s="10">
        <v>319</v>
      </c>
      <c r="J41" s="11">
        <v>5.6000000000000001E-2</v>
      </c>
    </row>
    <row r="42" spans="1:10" ht="16" x14ac:dyDescent="0.2">
      <c r="A42" s="3">
        <v>41</v>
      </c>
      <c r="B42" s="3" t="s">
        <v>127</v>
      </c>
      <c r="C42" s="4">
        <v>45452</v>
      </c>
      <c r="D42" s="6" t="s">
        <v>128</v>
      </c>
      <c r="E42" s="6" t="s">
        <v>129</v>
      </c>
      <c r="F42" s="6" t="str">
        <f t="shared" si="0"/>
        <v>-55.52758</v>
      </c>
      <c r="G42" s="6" t="str">
        <f t="shared" si="2"/>
        <v>48.74380</v>
      </c>
      <c r="H42" s="10">
        <v>1631</v>
      </c>
      <c r="I42" s="10">
        <v>197</v>
      </c>
      <c r="J42" s="11">
        <v>5.6000000000000001E-2</v>
      </c>
    </row>
    <row r="43" spans="1:10" ht="16" x14ac:dyDescent="0.2">
      <c r="A43" s="3">
        <v>42</v>
      </c>
      <c r="B43" s="3" t="s">
        <v>130</v>
      </c>
      <c r="C43" s="4">
        <v>45475</v>
      </c>
      <c r="D43" s="6" t="s">
        <v>131</v>
      </c>
      <c r="E43" s="6" t="s">
        <v>132</v>
      </c>
      <c r="F43" s="6" t="str">
        <f t="shared" si="0"/>
        <v>-56.63340</v>
      </c>
      <c r="G43" s="6" t="str">
        <f t="shared" si="2"/>
        <v>48.60475</v>
      </c>
      <c r="H43" s="10">
        <v>1460</v>
      </c>
      <c r="I43" s="10">
        <v>871</v>
      </c>
      <c r="J43" s="12">
        <v>0.21766666666666601</v>
      </c>
    </row>
    <row r="44" spans="1:10" ht="16" x14ac:dyDescent="0.2">
      <c r="A44" s="3">
        <v>43</v>
      </c>
      <c r="B44" s="3" t="s">
        <v>133</v>
      </c>
      <c r="C44" s="4">
        <v>45451</v>
      </c>
      <c r="D44" s="6" t="s">
        <v>134</v>
      </c>
      <c r="E44" s="6" t="s">
        <v>135</v>
      </c>
      <c r="F44" s="6" t="str">
        <f t="shared" si="0"/>
        <v>-56.18985</v>
      </c>
      <c r="G44" s="6" t="str">
        <f t="shared" si="2"/>
        <v>48.92064</v>
      </c>
      <c r="H44" s="10">
        <v>292</v>
      </c>
      <c r="I44" s="10">
        <v>87</v>
      </c>
      <c r="J44" s="11">
        <v>2.2333329999999998E-2</v>
      </c>
    </row>
    <row r="45" spans="1:10" ht="16" x14ac:dyDescent="0.2">
      <c r="A45" s="3">
        <v>44</v>
      </c>
      <c r="B45" s="3" t="s">
        <v>136</v>
      </c>
      <c r="C45" s="4">
        <v>45465</v>
      </c>
      <c r="D45" s="6" t="s">
        <v>137</v>
      </c>
      <c r="E45" s="6" t="s">
        <v>138</v>
      </c>
      <c r="F45" s="6" t="str">
        <f t="shared" si="0"/>
        <v>-57.47034</v>
      </c>
      <c r="G45" s="6" t="str">
        <f t="shared" si="2"/>
        <v>48.39377</v>
      </c>
      <c r="H45" s="10">
        <v>429</v>
      </c>
      <c r="I45" s="10">
        <v>234</v>
      </c>
      <c r="J45" s="11">
        <v>2.6333329999999999E-2</v>
      </c>
    </row>
    <row r="46" spans="1:10" ht="16" x14ac:dyDescent="0.2">
      <c r="A46" s="3">
        <v>45</v>
      </c>
      <c r="B46" s="3" t="s">
        <v>139</v>
      </c>
      <c r="C46" s="4">
        <v>45457</v>
      </c>
      <c r="D46" s="6" t="s">
        <v>140</v>
      </c>
      <c r="E46" s="6" t="s">
        <v>141</v>
      </c>
      <c r="F46" s="6" t="str">
        <f t="shared" si="0"/>
        <v>-55.99052</v>
      </c>
      <c r="G46" s="6" t="str">
        <f t="shared" si="2"/>
        <v>49.07740</v>
      </c>
      <c r="H46" s="10">
        <v>702</v>
      </c>
      <c r="I46" s="10">
        <v>122</v>
      </c>
      <c r="J46" s="11">
        <v>1.1666670000000001E-2</v>
      </c>
    </row>
    <row r="47" spans="1:10" ht="16" x14ac:dyDescent="0.2">
      <c r="A47" s="3">
        <v>46</v>
      </c>
      <c r="B47" s="3" t="s">
        <v>142</v>
      </c>
      <c r="C47" s="4">
        <v>45466</v>
      </c>
      <c r="D47" s="6" t="s">
        <v>143</v>
      </c>
      <c r="E47" s="6" t="s">
        <v>144</v>
      </c>
      <c r="F47" s="6" t="str">
        <f t="shared" si="0"/>
        <v>-57.17826</v>
      </c>
      <c r="G47" s="6" t="str">
        <f t="shared" si="2"/>
        <v>48.54182</v>
      </c>
      <c r="H47" s="10">
        <v>636</v>
      </c>
      <c r="I47" s="10">
        <v>121</v>
      </c>
      <c r="J47" s="11">
        <v>1.466667E-2</v>
      </c>
    </row>
    <row r="48" spans="1:10" ht="16" x14ac:dyDescent="0.2">
      <c r="A48" s="3">
        <v>47</v>
      </c>
      <c r="B48" s="3" t="s">
        <v>145</v>
      </c>
      <c r="C48" s="4">
        <v>45458</v>
      </c>
      <c r="D48" s="6" t="s">
        <v>146</v>
      </c>
      <c r="E48" s="6" t="s">
        <v>147</v>
      </c>
      <c r="F48" s="6" t="str">
        <f t="shared" si="0"/>
        <v>-56.73870</v>
      </c>
      <c r="G48" s="6" t="str">
        <f t="shared" si="2"/>
        <v>48.41282</v>
      </c>
      <c r="H48" s="10">
        <v>232</v>
      </c>
      <c r="I48" s="10">
        <v>75</v>
      </c>
      <c r="J48" s="11">
        <v>3.3333299999999998E-3</v>
      </c>
    </row>
    <row r="49" spans="1:10" ht="16" x14ac:dyDescent="0.2">
      <c r="A49" s="3">
        <v>48</v>
      </c>
      <c r="B49" s="3" t="s">
        <v>148</v>
      </c>
      <c r="C49" s="4">
        <v>45460</v>
      </c>
      <c r="D49" s="6" t="s">
        <v>149</v>
      </c>
      <c r="E49" s="6" t="s">
        <v>150</v>
      </c>
      <c r="F49" s="6" t="str">
        <f t="shared" si="0"/>
        <v>-56.86468</v>
      </c>
      <c r="G49" s="6" t="str">
        <f t="shared" si="2"/>
        <v>48.77073</v>
      </c>
      <c r="H49" s="10">
        <v>285</v>
      </c>
      <c r="I49" s="10">
        <v>39</v>
      </c>
      <c r="J49" s="11">
        <v>6.0000000000000001E-3</v>
      </c>
    </row>
    <row r="50" spans="1:10" ht="16" x14ac:dyDescent="0.2">
      <c r="A50" s="3">
        <v>49</v>
      </c>
      <c r="B50" s="3" t="s">
        <v>151</v>
      </c>
      <c r="C50" s="4">
        <v>45453</v>
      </c>
      <c r="D50" s="6" t="s">
        <v>152</v>
      </c>
      <c r="E50" s="6" t="s">
        <v>153</v>
      </c>
      <c r="F50" s="6" t="str">
        <f t="shared" si="0"/>
        <v>-56.63420</v>
      </c>
      <c r="G50" s="6" t="str">
        <f t="shared" si="2"/>
        <v>48.61349</v>
      </c>
      <c r="H50" s="10">
        <v>684</v>
      </c>
      <c r="I50" s="10">
        <v>127</v>
      </c>
      <c r="J50" s="11">
        <v>1.8333329999999998E-2</v>
      </c>
    </row>
    <row r="51" spans="1:10" ht="16" x14ac:dyDescent="0.2">
      <c r="A51" s="3">
        <v>50</v>
      </c>
      <c r="B51" s="3" t="s">
        <v>154</v>
      </c>
      <c r="C51" s="4">
        <v>45465</v>
      </c>
      <c r="D51" s="6" t="s">
        <v>155</v>
      </c>
      <c r="E51" s="6" t="s">
        <v>156</v>
      </c>
      <c r="F51" s="6" t="str">
        <f t="shared" si="0"/>
        <v>-57.43190</v>
      </c>
      <c r="G51" s="6" t="str">
        <f t="shared" si="2"/>
        <v>48.46025</v>
      </c>
      <c r="H51" s="10">
        <v>5339</v>
      </c>
      <c r="I51" s="10">
        <v>1450</v>
      </c>
      <c r="J51" s="11">
        <v>4.4333329999999997E-2</v>
      </c>
    </row>
    <row r="52" spans="1:10" ht="16" x14ac:dyDescent="0.2">
      <c r="A52" s="3">
        <v>51</v>
      </c>
      <c r="B52" s="3" t="s">
        <v>157</v>
      </c>
      <c r="C52" s="4">
        <v>45477</v>
      </c>
      <c r="D52" s="6" t="s">
        <v>158</v>
      </c>
      <c r="E52" s="6" t="s">
        <v>159</v>
      </c>
      <c r="F52" s="6" t="str">
        <f t="shared" si="0"/>
        <v>-55.58054</v>
      </c>
      <c r="G52" s="6" t="str">
        <f t="shared" si="2"/>
        <v>49.01941</v>
      </c>
      <c r="H52" s="10">
        <v>1912</v>
      </c>
      <c r="I52" s="10">
        <v>386</v>
      </c>
      <c r="J52" s="11">
        <v>1.1666670000000001E-2</v>
      </c>
    </row>
    <row r="53" spans="1:10" ht="16" x14ac:dyDescent="0.2">
      <c r="A53" s="3">
        <v>52</v>
      </c>
      <c r="B53" s="3" t="s">
        <v>160</v>
      </c>
      <c r="C53" s="4">
        <v>45464</v>
      </c>
      <c r="D53" s="6" t="s">
        <v>161</v>
      </c>
      <c r="E53" s="6" t="s">
        <v>162</v>
      </c>
      <c r="F53" s="6" t="str">
        <f t="shared" si="0"/>
        <v>-57.07986</v>
      </c>
      <c r="G53" s="6" t="str">
        <f t="shared" si="2"/>
        <v>48.42519</v>
      </c>
      <c r="H53" s="10">
        <v>2063</v>
      </c>
      <c r="I53" s="10">
        <v>787</v>
      </c>
      <c r="J53" s="11">
        <v>8.7666670000000002E-2</v>
      </c>
    </row>
    <row r="54" spans="1:10" ht="16" x14ac:dyDescent="0.2">
      <c r="A54" s="3">
        <v>53</v>
      </c>
      <c r="B54" s="3" t="s">
        <v>163</v>
      </c>
      <c r="C54" s="4">
        <v>45460</v>
      </c>
      <c r="D54" s="6" t="s">
        <v>164</v>
      </c>
      <c r="E54" s="6" t="s">
        <v>165</v>
      </c>
      <c r="F54" s="6" t="str">
        <f t="shared" si="0"/>
        <v>-57.12020</v>
      </c>
      <c r="G54" s="6" t="str">
        <f t="shared" si="2"/>
        <v>48.55573</v>
      </c>
      <c r="H54" s="10">
        <v>662</v>
      </c>
      <c r="I54" s="10">
        <v>266</v>
      </c>
      <c r="J54" s="11">
        <v>5.3333299999999998E-3</v>
      </c>
    </row>
    <row r="55" spans="1:10" ht="16" x14ac:dyDescent="0.2">
      <c r="A55" s="3">
        <v>54</v>
      </c>
      <c r="B55" s="3" t="s">
        <v>166</v>
      </c>
      <c r="C55" s="4">
        <v>45463</v>
      </c>
      <c r="D55" s="6" t="s">
        <v>167</v>
      </c>
      <c r="E55" s="6" t="s">
        <v>168</v>
      </c>
      <c r="F55" s="6" t="str">
        <f t="shared" si="0"/>
        <v>-55.73506</v>
      </c>
      <c r="G55" s="6" t="str">
        <f t="shared" si="2"/>
        <v>48.63305</v>
      </c>
      <c r="H55" s="10">
        <v>1240</v>
      </c>
      <c r="I55" s="10">
        <v>203</v>
      </c>
      <c r="J55" s="11">
        <v>2.8000000000000001E-2</v>
      </c>
    </row>
    <row r="56" spans="1:10" ht="16" x14ac:dyDescent="0.2">
      <c r="A56" s="3">
        <v>55</v>
      </c>
      <c r="B56" s="3" t="s">
        <v>169</v>
      </c>
      <c r="C56" s="4">
        <v>45468</v>
      </c>
      <c r="D56" s="6" t="s">
        <v>170</v>
      </c>
      <c r="E56" s="6" t="s">
        <v>171</v>
      </c>
      <c r="F56" s="6" t="str">
        <f t="shared" si="0"/>
        <v>-56.78580</v>
      </c>
      <c r="G56" s="6" t="str">
        <f t="shared" si="2"/>
        <v>48.84623</v>
      </c>
      <c r="H56" s="10">
        <v>1071</v>
      </c>
      <c r="I56" s="10">
        <v>43</v>
      </c>
      <c r="J56" s="11">
        <v>7.3333299999999999E-3</v>
      </c>
    </row>
    <row r="57" spans="1:10" ht="16" x14ac:dyDescent="0.2">
      <c r="A57" s="3">
        <v>56</v>
      </c>
      <c r="B57" s="3" t="s">
        <v>172</v>
      </c>
      <c r="C57" s="4">
        <v>45454</v>
      </c>
      <c r="D57" s="6" t="s">
        <v>173</v>
      </c>
      <c r="E57" s="6" t="s">
        <v>174</v>
      </c>
      <c r="F57" s="6" t="str">
        <f t="shared" si="0"/>
        <v>-56.69196</v>
      </c>
      <c r="G57" s="6" t="str">
        <f t="shared" si="2"/>
        <v>48.80797</v>
      </c>
      <c r="H57" s="10">
        <v>687</v>
      </c>
      <c r="I57" s="10">
        <v>186</v>
      </c>
      <c r="J57" s="11">
        <v>7.6666700000000004E-3</v>
      </c>
    </row>
    <row r="58" spans="1:10" ht="16" x14ac:dyDescent="0.2">
      <c r="A58" s="3">
        <v>57</v>
      </c>
      <c r="B58" s="3" t="s">
        <v>175</v>
      </c>
      <c r="C58" s="4">
        <v>45452</v>
      </c>
      <c r="D58" s="6" t="s">
        <v>176</v>
      </c>
      <c r="E58" s="6" t="s">
        <v>177</v>
      </c>
      <c r="F58" s="6" t="str">
        <f t="shared" si="0"/>
        <v>-55.95797</v>
      </c>
      <c r="G58" s="6" t="str">
        <f t="shared" si="2"/>
        <v>48.92785</v>
      </c>
      <c r="H58" s="10">
        <v>2466</v>
      </c>
      <c r="I58" s="10">
        <v>779</v>
      </c>
      <c r="J58" s="11">
        <v>1.3333329999999999E-2</v>
      </c>
    </row>
    <row r="59" spans="1:10" ht="16" x14ac:dyDescent="0.2">
      <c r="A59" s="3">
        <v>58</v>
      </c>
      <c r="B59" s="3" t="s">
        <v>178</v>
      </c>
      <c r="C59" s="4">
        <v>45454</v>
      </c>
      <c r="D59" s="6" t="s">
        <v>179</v>
      </c>
      <c r="E59" s="6" t="s">
        <v>180</v>
      </c>
      <c r="F59" s="6" t="str">
        <f t="shared" si="0"/>
        <v>-56.87863</v>
      </c>
      <c r="G59" s="6" t="str">
        <f t="shared" si="2"/>
        <v>48.68567</v>
      </c>
      <c r="H59" s="10">
        <v>949</v>
      </c>
      <c r="I59" s="10">
        <v>132</v>
      </c>
      <c r="J59" s="11">
        <v>2.266667E-2</v>
      </c>
    </row>
    <row r="60" spans="1:10" ht="14" x14ac:dyDescent="0.15">
      <c r="D60" s="6"/>
      <c r="E60" s="6"/>
      <c r="F60" s="6"/>
      <c r="G60" s="6"/>
      <c r="H60" s="6"/>
      <c r="I60" s="6"/>
      <c r="J60" s="9"/>
    </row>
    <row r="61" spans="1:10" ht="13" x14ac:dyDescent="0.15">
      <c r="J61" s="9"/>
    </row>
    <row r="62" spans="1:10" ht="13" x14ac:dyDescent="0.15">
      <c r="J62" s="9"/>
    </row>
    <row r="63" spans="1:10" ht="13" x14ac:dyDescent="0.15">
      <c r="J63" s="9"/>
    </row>
    <row r="64" spans="1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  <row r="1001" spans="10:10" ht="13" x14ac:dyDescent="0.15">
      <c r="J1001" s="9"/>
    </row>
    <row r="1002" spans="10:10" ht="13" x14ac:dyDescent="0.15">
      <c r="J1002" s="9"/>
    </row>
    <row r="1003" spans="10:10" ht="13" x14ac:dyDescent="0.15">
      <c r="J1003" s="9"/>
    </row>
    <row r="1004" spans="10:10" ht="13" x14ac:dyDescent="0.15">
      <c r="J1004" s="9"/>
    </row>
    <row r="1005" spans="10:10" ht="13" x14ac:dyDescent="0.15">
      <c r="J1005" s="9"/>
    </row>
    <row r="1006" spans="10:10" ht="13" x14ac:dyDescent="0.15">
      <c r="J1006" s="9"/>
    </row>
    <row r="1007" spans="10:10" ht="13" x14ac:dyDescent="0.15">
      <c r="J1007" s="9"/>
    </row>
    <row r="1008" spans="10:10" ht="13" x14ac:dyDescent="0.15">
      <c r="J1008" s="9"/>
    </row>
    <row r="1009" spans="10:10" ht="13" x14ac:dyDescent="0.15">
      <c r="J1009" s="9"/>
    </row>
    <row r="1010" spans="10:10" ht="13" x14ac:dyDescent="0.15">
      <c r="J1010" s="9"/>
    </row>
    <row r="1011" spans="10:10" ht="13" x14ac:dyDescent="0.15">
      <c r="J1011" s="9"/>
    </row>
    <row r="1012" spans="10:10" ht="13" x14ac:dyDescent="0.15">
      <c r="J1012" s="9"/>
    </row>
    <row r="1013" spans="10:10" ht="13" x14ac:dyDescent="0.15">
      <c r="J1013" s="9"/>
    </row>
    <row r="1014" spans="10:10" ht="13" x14ac:dyDescent="0.15">
      <c r="J1014" s="9"/>
    </row>
    <row r="1015" spans="10:10" ht="13" x14ac:dyDescent="0.15">
      <c r="J1015" s="9"/>
    </row>
  </sheetData>
  <autoFilter ref="A1:J5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39"/>
  <sheetViews>
    <sheetView workbookViewId="0">
      <selection activeCell="G25" sqref="G25"/>
    </sheetView>
  </sheetViews>
  <sheetFormatPr baseColWidth="10" defaultColWidth="12.6640625" defaultRowHeight="15.75" customHeight="1" x14ac:dyDescent="0.15"/>
  <cols>
    <col min="1" max="1" width="8.33203125" customWidth="1"/>
    <col min="2" max="2" width="12" customWidth="1"/>
    <col min="3" max="3" width="23.33203125" customWidth="1"/>
    <col min="4" max="6" width="20.83203125" customWidth="1"/>
    <col min="7" max="11" width="13.33203125" customWidth="1"/>
    <col min="12" max="15" width="10.83203125" customWidth="1"/>
    <col min="16" max="16" width="11" customWidth="1"/>
    <col min="17" max="17" width="25.83203125" bestFit="1" customWidth="1"/>
  </cols>
  <sheetData>
    <row r="1" spans="1:2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38" t="s">
        <v>306</v>
      </c>
      <c r="F1" s="38" t="s">
        <v>307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38" t="s">
        <v>308</v>
      </c>
      <c r="R1" s="39" t="s">
        <v>309</v>
      </c>
      <c r="S1" s="40"/>
      <c r="T1" s="38"/>
    </row>
    <row r="2" spans="1:20" ht="15.75" customHeight="1" x14ac:dyDescent="0.15">
      <c r="A2" s="3" t="s">
        <v>7</v>
      </c>
      <c r="B2" s="4">
        <v>45824</v>
      </c>
      <c r="C2" s="5" t="s">
        <v>8</v>
      </c>
      <c r="D2" s="6" t="s">
        <v>9</v>
      </c>
      <c r="E2" s="6" t="str">
        <f>"-"&amp;RIGHT(C2,8)</f>
        <v>-55.64848</v>
      </c>
      <c r="F2" s="6" t="str">
        <f>MID(C2,2,8)</f>
        <v>48.91701</v>
      </c>
      <c r="G2" s="15">
        <v>37</v>
      </c>
      <c r="H2" s="15">
        <v>32</v>
      </c>
      <c r="I2" s="15">
        <v>20</v>
      </c>
      <c r="J2" s="15" t="s">
        <v>191</v>
      </c>
      <c r="K2" s="15" t="s">
        <v>191</v>
      </c>
      <c r="L2" s="15">
        <v>113</v>
      </c>
      <c r="M2" s="15" t="s">
        <v>191</v>
      </c>
      <c r="N2" s="15" t="s">
        <v>191</v>
      </c>
      <c r="O2" s="15" t="s">
        <v>191</v>
      </c>
      <c r="P2" s="15" t="s">
        <v>191</v>
      </c>
      <c r="Q2">
        <f>SUM(G2:K2)</f>
        <v>89</v>
      </c>
      <c r="R2" s="13">
        <f>SUM(L2:P2)</f>
        <v>113</v>
      </c>
      <c r="S2" s="41"/>
    </row>
    <row r="3" spans="1:20" ht="15.75" customHeight="1" x14ac:dyDescent="0.15">
      <c r="A3" s="3" t="s">
        <v>10</v>
      </c>
      <c r="B3" s="4">
        <v>45825</v>
      </c>
      <c r="C3" s="5" t="s">
        <v>11</v>
      </c>
      <c r="D3" s="6" t="s">
        <v>12</v>
      </c>
      <c r="E3" s="6" t="str">
        <f t="shared" ref="E3:E14" si="0">"-"&amp;RIGHT(C3,8)</f>
        <v>-56.01231</v>
      </c>
      <c r="F3" s="6" t="str">
        <f t="shared" ref="F3:F14" si="1">MID(C3,2,8)</f>
        <v>48.89357</v>
      </c>
      <c r="G3" s="15">
        <v>13</v>
      </c>
      <c r="H3" s="15">
        <v>10</v>
      </c>
      <c r="I3" s="15">
        <v>13</v>
      </c>
      <c r="J3" s="15">
        <v>1</v>
      </c>
      <c r="K3" s="15" t="s">
        <v>191</v>
      </c>
      <c r="L3" s="15">
        <v>0</v>
      </c>
      <c r="M3" s="15">
        <v>0</v>
      </c>
      <c r="N3" s="15">
        <v>0</v>
      </c>
      <c r="O3" s="15">
        <v>0</v>
      </c>
      <c r="P3" s="15" t="s">
        <v>191</v>
      </c>
      <c r="Q3">
        <f t="shared" ref="Q3:Q14" si="2">SUM(G3:K3)</f>
        <v>37</v>
      </c>
      <c r="R3" s="13">
        <f t="shared" ref="R3:R14" si="3">SUM(L3:P3)</f>
        <v>0</v>
      </c>
      <c r="S3" s="41"/>
    </row>
    <row r="4" spans="1:20" ht="15.75" customHeight="1" x14ac:dyDescent="0.15">
      <c r="A4" s="3" t="s">
        <v>13</v>
      </c>
      <c r="B4" s="4">
        <v>45826</v>
      </c>
      <c r="C4" s="5" t="s">
        <v>14</v>
      </c>
      <c r="D4" s="6" t="s">
        <v>15</v>
      </c>
      <c r="E4" s="6" t="str">
        <f t="shared" si="0"/>
        <v>-56.23413</v>
      </c>
      <c r="F4" s="6" t="str">
        <f t="shared" si="1"/>
        <v>48.75180</v>
      </c>
      <c r="G4" s="15">
        <v>12</v>
      </c>
      <c r="H4" s="15">
        <v>13</v>
      </c>
      <c r="I4" s="15">
        <v>4</v>
      </c>
      <c r="J4" s="15" t="s">
        <v>191</v>
      </c>
      <c r="K4" s="15" t="s">
        <v>191</v>
      </c>
      <c r="L4" s="15">
        <v>21</v>
      </c>
      <c r="M4" s="15">
        <v>26</v>
      </c>
      <c r="N4" s="15">
        <v>23</v>
      </c>
      <c r="O4" s="15" t="s">
        <v>191</v>
      </c>
      <c r="P4" s="15" t="s">
        <v>191</v>
      </c>
      <c r="Q4">
        <f t="shared" si="2"/>
        <v>29</v>
      </c>
      <c r="R4" s="13">
        <f t="shared" si="3"/>
        <v>70</v>
      </c>
      <c r="S4" s="41"/>
    </row>
    <row r="5" spans="1:20" ht="15.75" customHeight="1" x14ac:dyDescent="0.15">
      <c r="A5" s="3" t="s">
        <v>16</v>
      </c>
      <c r="B5" s="4">
        <v>45827</v>
      </c>
      <c r="C5" s="5" t="s">
        <v>17</v>
      </c>
      <c r="D5" s="6" t="s">
        <v>18</v>
      </c>
      <c r="E5" s="6" t="str">
        <f t="shared" si="0"/>
        <v>-55.38828</v>
      </c>
      <c r="F5" s="6" t="str">
        <f t="shared" si="1"/>
        <v>48.98091</v>
      </c>
      <c r="G5" s="15">
        <v>47</v>
      </c>
      <c r="H5" s="15">
        <v>19</v>
      </c>
      <c r="I5" s="15">
        <v>21</v>
      </c>
      <c r="J5" s="15">
        <v>10</v>
      </c>
      <c r="K5" s="15" t="s">
        <v>191</v>
      </c>
      <c r="L5" s="15">
        <v>14</v>
      </c>
      <c r="M5" s="15">
        <v>14</v>
      </c>
      <c r="N5" s="15">
        <v>11</v>
      </c>
      <c r="O5" s="15">
        <v>10</v>
      </c>
      <c r="P5" s="15" t="s">
        <v>191</v>
      </c>
      <c r="Q5">
        <f t="shared" si="2"/>
        <v>97</v>
      </c>
      <c r="R5" s="13">
        <f t="shared" si="3"/>
        <v>49</v>
      </c>
      <c r="S5" s="41"/>
    </row>
    <row r="6" spans="1:20" ht="15.75" customHeight="1" x14ac:dyDescent="0.15">
      <c r="A6" s="3" t="s">
        <v>19</v>
      </c>
      <c r="B6" s="4">
        <v>45829</v>
      </c>
      <c r="C6" s="5" t="s">
        <v>20</v>
      </c>
      <c r="D6" s="6" t="s">
        <v>21</v>
      </c>
      <c r="E6" s="6" t="str">
        <f t="shared" si="0"/>
        <v>-55.55503</v>
      </c>
      <c r="F6" s="6" t="str">
        <f t="shared" si="1"/>
        <v>48.90750</v>
      </c>
      <c r="G6" s="15">
        <v>50</v>
      </c>
      <c r="H6" s="15">
        <v>8</v>
      </c>
      <c r="I6" s="15" t="s">
        <v>191</v>
      </c>
      <c r="J6" s="15" t="s">
        <v>191</v>
      </c>
      <c r="K6" s="15" t="s">
        <v>191</v>
      </c>
      <c r="L6" s="15">
        <v>32</v>
      </c>
      <c r="M6" s="15">
        <v>6</v>
      </c>
      <c r="N6" s="15" t="s">
        <v>191</v>
      </c>
      <c r="O6" s="15" t="s">
        <v>191</v>
      </c>
      <c r="P6" s="15" t="s">
        <v>191</v>
      </c>
      <c r="Q6">
        <f t="shared" si="2"/>
        <v>58</v>
      </c>
      <c r="R6" s="13">
        <f t="shared" si="3"/>
        <v>38</v>
      </c>
      <c r="S6" s="41"/>
    </row>
    <row r="7" spans="1:20" ht="15.75" customHeight="1" x14ac:dyDescent="0.15">
      <c r="A7" s="3" t="s">
        <v>22</v>
      </c>
      <c r="B7" s="4">
        <v>45831</v>
      </c>
      <c r="C7" s="5" t="s">
        <v>23</v>
      </c>
      <c r="D7" s="6" t="s">
        <v>24</v>
      </c>
      <c r="E7" s="6" t="str">
        <f t="shared" si="0"/>
        <v>-55.52757</v>
      </c>
      <c r="F7" s="6" t="str">
        <f t="shared" si="1"/>
        <v>48.74886</v>
      </c>
      <c r="G7" s="15">
        <v>13</v>
      </c>
      <c r="H7" s="15">
        <v>10</v>
      </c>
      <c r="I7" s="15">
        <v>13</v>
      </c>
      <c r="J7" s="15">
        <v>2</v>
      </c>
      <c r="K7" s="15">
        <v>0</v>
      </c>
      <c r="L7" s="15">
        <v>117</v>
      </c>
      <c r="M7" s="15">
        <v>91</v>
      </c>
      <c r="N7" s="15">
        <v>57</v>
      </c>
      <c r="O7" s="15">
        <v>40</v>
      </c>
      <c r="P7" s="15">
        <v>16</v>
      </c>
      <c r="Q7">
        <f t="shared" si="2"/>
        <v>38</v>
      </c>
      <c r="R7" s="13">
        <f t="shared" si="3"/>
        <v>321</v>
      </c>
      <c r="S7" s="41"/>
    </row>
    <row r="8" spans="1:20" ht="15.75" customHeight="1" x14ac:dyDescent="0.15">
      <c r="A8" s="3" t="s">
        <v>25</v>
      </c>
      <c r="B8" s="4">
        <v>45832</v>
      </c>
      <c r="C8" s="5" t="s">
        <v>26</v>
      </c>
      <c r="D8" s="6" t="s">
        <v>27</v>
      </c>
      <c r="E8" s="6" t="str">
        <f t="shared" si="0"/>
        <v>-56.47289</v>
      </c>
      <c r="F8" s="6" t="str">
        <f t="shared" si="1"/>
        <v>48.84579</v>
      </c>
      <c r="G8" s="15">
        <v>9</v>
      </c>
      <c r="H8" s="15">
        <v>2</v>
      </c>
      <c r="I8" s="15">
        <v>1</v>
      </c>
      <c r="J8" s="15" t="s">
        <v>191</v>
      </c>
      <c r="K8" s="15" t="s">
        <v>191</v>
      </c>
      <c r="L8" s="15">
        <v>0</v>
      </c>
      <c r="M8" s="15">
        <v>0</v>
      </c>
      <c r="N8" s="15">
        <v>0</v>
      </c>
      <c r="O8" s="15">
        <v>0</v>
      </c>
      <c r="P8" s="15" t="s">
        <v>191</v>
      </c>
      <c r="Q8">
        <f t="shared" si="2"/>
        <v>12</v>
      </c>
      <c r="R8" s="13">
        <f t="shared" si="3"/>
        <v>0</v>
      </c>
      <c r="S8" s="41"/>
    </row>
    <row r="9" spans="1:20" ht="15.75" customHeight="1" x14ac:dyDescent="0.15">
      <c r="A9" s="3" t="s">
        <v>28</v>
      </c>
      <c r="B9" s="4">
        <v>45834</v>
      </c>
      <c r="C9" s="5" t="s">
        <v>29</v>
      </c>
      <c r="D9" s="6" t="s">
        <v>30</v>
      </c>
      <c r="E9" s="6" t="str">
        <f t="shared" si="0"/>
        <v>-56.95130</v>
      </c>
      <c r="F9" s="6" t="str">
        <f t="shared" si="1"/>
        <v>48.68256</v>
      </c>
      <c r="G9" s="15">
        <v>0</v>
      </c>
      <c r="H9" s="15">
        <v>0</v>
      </c>
      <c r="I9" s="15">
        <v>0</v>
      </c>
      <c r="J9" s="15">
        <v>0</v>
      </c>
      <c r="K9" s="15" t="s">
        <v>191</v>
      </c>
      <c r="L9" s="15" t="s">
        <v>191</v>
      </c>
      <c r="M9" s="15" t="s">
        <v>191</v>
      </c>
      <c r="N9" s="15" t="s">
        <v>191</v>
      </c>
      <c r="O9" s="15" t="s">
        <v>191</v>
      </c>
      <c r="P9" s="15" t="s">
        <v>191</v>
      </c>
      <c r="Q9">
        <f t="shared" si="2"/>
        <v>0</v>
      </c>
      <c r="R9" s="13">
        <f t="shared" si="3"/>
        <v>0</v>
      </c>
      <c r="S9" s="41"/>
    </row>
    <row r="10" spans="1:20" ht="15.75" customHeight="1" x14ac:dyDescent="0.15">
      <c r="A10" s="3" t="s">
        <v>31</v>
      </c>
      <c r="B10" s="4">
        <v>45835</v>
      </c>
      <c r="C10" s="6" t="s">
        <v>32</v>
      </c>
      <c r="D10" s="6" t="s">
        <v>33</v>
      </c>
      <c r="E10" s="6" t="str">
        <f t="shared" si="0"/>
        <v>-56.91361</v>
      </c>
      <c r="F10" s="6" t="str">
        <f t="shared" si="1"/>
        <v>48.64014</v>
      </c>
      <c r="G10" s="15">
        <v>0</v>
      </c>
      <c r="H10" s="15" t="s">
        <v>191</v>
      </c>
      <c r="I10" s="15" t="s">
        <v>191</v>
      </c>
      <c r="J10" s="15" t="s">
        <v>191</v>
      </c>
      <c r="K10" s="15" t="s">
        <v>191</v>
      </c>
      <c r="L10" s="15" t="s">
        <v>191</v>
      </c>
      <c r="M10" s="15" t="s">
        <v>191</v>
      </c>
      <c r="N10" s="15" t="s">
        <v>191</v>
      </c>
      <c r="O10" s="15" t="s">
        <v>191</v>
      </c>
      <c r="P10" s="15" t="s">
        <v>191</v>
      </c>
      <c r="Q10">
        <f t="shared" si="2"/>
        <v>0</v>
      </c>
      <c r="R10" s="13">
        <f t="shared" si="3"/>
        <v>0</v>
      </c>
      <c r="S10" s="41"/>
    </row>
    <row r="11" spans="1:20" ht="15.75" customHeight="1" x14ac:dyDescent="0.15">
      <c r="A11" s="3" t="s">
        <v>34</v>
      </c>
      <c r="B11" s="4">
        <v>45836</v>
      </c>
      <c r="C11" s="5" t="s">
        <v>35</v>
      </c>
      <c r="D11" s="6" t="s">
        <v>36</v>
      </c>
      <c r="E11" s="6" t="str">
        <f t="shared" si="0"/>
        <v>-56.01804</v>
      </c>
      <c r="F11" s="6" t="str">
        <f t="shared" si="1"/>
        <v>48.97447</v>
      </c>
      <c r="G11" s="15">
        <v>8</v>
      </c>
      <c r="H11" s="15">
        <v>2</v>
      </c>
      <c r="I11" s="15">
        <v>0</v>
      </c>
      <c r="J11" s="15" t="s">
        <v>191</v>
      </c>
      <c r="K11" s="15" t="s">
        <v>191</v>
      </c>
      <c r="L11" s="15">
        <v>17</v>
      </c>
      <c r="M11" s="15">
        <v>27</v>
      </c>
      <c r="N11" s="15">
        <v>18</v>
      </c>
      <c r="O11" s="15" t="s">
        <v>191</v>
      </c>
      <c r="P11" s="15" t="s">
        <v>191</v>
      </c>
      <c r="Q11">
        <f t="shared" si="2"/>
        <v>10</v>
      </c>
      <c r="R11" s="13">
        <f t="shared" si="3"/>
        <v>62</v>
      </c>
      <c r="S11" s="41"/>
    </row>
    <row r="12" spans="1:20" ht="15.75" customHeight="1" x14ac:dyDescent="0.15">
      <c r="A12" s="3" t="s">
        <v>37</v>
      </c>
      <c r="B12" s="4">
        <v>45837</v>
      </c>
      <c r="C12" s="5" t="s">
        <v>38</v>
      </c>
      <c r="D12" s="6" t="s">
        <v>39</v>
      </c>
      <c r="E12" s="6" t="str">
        <f t="shared" si="0"/>
        <v>-55.50529</v>
      </c>
      <c r="F12" s="6" t="str">
        <f t="shared" si="1"/>
        <v>48.94477</v>
      </c>
      <c r="G12" s="15">
        <v>50</v>
      </c>
      <c r="H12" s="15">
        <v>23</v>
      </c>
      <c r="I12" s="15">
        <v>12</v>
      </c>
      <c r="J12" s="15" t="s">
        <v>191</v>
      </c>
      <c r="K12" s="15" t="s">
        <v>191</v>
      </c>
      <c r="L12" s="15">
        <v>0</v>
      </c>
      <c r="M12" s="15">
        <v>0</v>
      </c>
      <c r="N12" s="15">
        <v>0</v>
      </c>
      <c r="O12" s="15" t="s">
        <v>191</v>
      </c>
      <c r="P12" s="15" t="s">
        <v>191</v>
      </c>
      <c r="Q12">
        <f t="shared" si="2"/>
        <v>85</v>
      </c>
      <c r="R12" s="13">
        <f t="shared" si="3"/>
        <v>0</v>
      </c>
      <c r="S12" s="41"/>
    </row>
    <row r="13" spans="1:20" ht="15.75" customHeight="1" x14ac:dyDescent="0.15">
      <c r="A13" s="3" t="s">
        <v>40</v>
      </c>
      <c r="B13" s="4">
        <v>45838</v>
      </c>
      <c r="C13" s="5" t="s">
        <v>41</v>
      </c>
      <c r="D13" s="6" t="s">
        <v>42</v>
      </c>
      <c r="E13" s="6" t="str">
        <f t="shared" si="0"/>
        <v>-56.59022</v>
      </c>
      <c r="F13" s="6" t="str">
        <f t="shared" si="1"/>
        <v>48.75338</v>
      </c>
      <c r="G13" s="15">
        <v>34</v>
      </c>
      <c r="H13" s="15">
        <v>19</v>
      </c>
      <c r="I13" s="15">
        <v>15</v>
      </c>
      <c r="J13" s="15" t="s">
        <v>191</v>
      </c>
      <c r="K13" s="15" t="s">
        <v>191</v>
      </c>
      <c r="L13" s="15">
        <v>3</v>
      </c>
      <c r="M13" s="15">
        <v>5</v>
      </c>
      <c r="N13" s="15">
        <v>5</v>
      </c>
      <c r="O13" s="15">
        <v>0</v>
      </c>
      <c r="P13" s="15" t="s">
        <v>191</v>
      </c>
      <c r="Q13">
        <f t="shared" si="2"/>
        <v>68</v>
      </c>
      <c r="R13" s="13">
        <f t="shared" si="3"/>
        <v>13</v>
      </c>
      <c r="S13" s="41"/>
    </row>
    <row r="14" spans="1:20" ht="15.75" customHeight="1" x14ac:dyDescent="0.15">
      <c r="A14" s="3" t="s">
        <v>43</v>
      </c>
      <c r="B14" s="4">
        <v>45839</v>
      </c>
      <c r="C14" s="5" t="s">
        <v>44</v>
      </c>
      <c r="D14" s="6" t="s">
        <v>45</v>
      </c>
      <c r="E14" s="6" t="str">
        <f t="shared" si="0"/>
        <v>-55.48917</v>
      </c>
      <c r="F14" s="6" t="str">
        <f t="shared" si="1"/>
        <v>48.87520</v>
      </c>
      <c r="G14" s="15">
        <v>20</v>
      </c>
      <c r="H14" s="15">
        <v>13</v>
      </c>
      <c r="I14" s="15">
        <v>11</v>
      </c>
      <c r="J14" s="15">
        <v>4</v>
      </c>
      <c r="K14" s="15" t="s">
        <v>191</v>
      </c>
      <c r="L14" s="15">
        <v>35</v>
      </c>
      <c r="M14" s="15">
        <v>34</v>
      </c>
      <c r="N14" s="15">
        <v>42</v>
      </c>
      <c r="O14" s="15">
        <v>18</v>
      </c>
      <c r="P14" s="15" t="s">
        <v>191</v>
      </c>
      <c r="Q14">
        <f t="shared" si="2"/>
        <v>48</v>
      </c>
      <c r="R14" s="13">
        <f t="shared" si="3"/>
        <v>129</v>
      </c>
      <c r="S14" s="41"/>
    </row>
    <row r="15" spans="1:20" ht="15.75" customHeight="1" x14ac:dyDescent="0.15">
      <c r="R15" s="13"/>
      <c r="S15" s="14"/>
    </row>
    <row r="16" spans="1:20" ht="15.75" customHeight="1" x14ac:dyDescent="0.15">
      <c r="R16" s="13"/>
      <c r="S16" s="14"/>
    </row>
    <row r="17" spans="18:19" ht="15.75" customHeight="1" x14ac:dyDescent="0.15">
      <c r="R17" s="13"/>
      <c r="S17" s="14"/>
    </row>
    <row r="18" spans="18:19" ht="15.75" customHeight="1" x14ac:dyDescent="0.15">
      <c r="R18" s="13"/>
      <c r="S18" s="14"/>
    </row>
    <row r="19" spans="18:19" ht="15.75" customHeight="1" x14ac:dyDescent="0.15">
      <c r="R19" s="13"/>
      <c r="S19" s="14"/>
    </row>
    <row r="20" spans="18:19" ht="15.75" customHeight="1" x14ac:dyDescent="0.15">
      <c r="R20" s="13"/>
      <c r="S20" s="14"/>
    </row>
    <row r="21" spans="18:19" ht="15.75" customHeight="1" x14ac:dyDescent="0.15">
      <c r="R21" s="13"/>
      <c r="S21" s="14"/>
    </row>
    <row r="22" spans="18:19" ht="15.75" customHeight="1" x14ac:dyDescent="0.15">
      <c r="R22" s="13"/>
      <c r="S22" s="14"/>
    </row>
    <row r="23" spans="18:19" ht="15.75" customHeight="1" x14ac:dyDescent="0.15">
      <c r="R23" s="13"/>
      <c r="S23" s="14"/>
    </row>
    <row r="24" spans="18:19" ht="15.75" customHeight="1" x14ac:dyDescent="0.15">
      <c r="R24" s="13"/>
      <c r="S24" s="14"/>
    </row>
    <row r="25" spans="18:19" ht="15.75" customHeight="1" x14ac:dyDescent="0.15">
      <c r="R25" s="13"/>
      <c r="S25" s="14"/>
    </row>
    <row r="26" spans="18:19" ht="15.75" customHeight="1" x14ac:dyDescent="0.15">
      <c r="R26" s="13"/>
      <c r="S26" s="14"/>
    </row>
    <row r="27" spans="18:19" ht="15.75" customHeight="1" x14ac:dyDescent="0.15">
      <c r="R27" s="13"/>
      <c r="S27" s="14"/>
    </row>
    <row r="28" spans="18:19" ht="15.75" customHeight="1" x14ac:dyDescent="0.15">
      <c r="R28" s="13"/>
      <c r="S28" s="14"/>
    </row>
    <row r="29" spans="18:19" ht="15.75" customHeight="1" x14ac:dyDescent="0.15">
      <c r="R29" s="13"/>
      <c r="S29" s="14"/>
    </row>
    <row r="30" spans="18:19" ht="15.75" customHeight="1" x14ac:dyDescent="0.15">
      <c r="R30" s="13"/>
      <c r="S30" s="14"/>
    </row>
    <row r="31" spans="18:19" ht="15.75" customHeight="1" x14ac:dyDescent="0.15">
      <c r="R31" s="13"/>
      <c r="S31" s="14"/>
    </row>
    <row r="32" spans="18:19" ht="15.75" customHeight="1" x14ac:dyDescent="0.15">
      <c r="R32" s="13"/>
      <c r="S32" s="14"/>
    </row>
    <row r="33" spans="18:19" ht="15.75" customHeight="1" x14ac:dyDescent="0.15">
      <c r="R33" s="13"/>
      <c r="S33" s="14"/>
    </row>
    <row r="34" spans="18:19" ht="15.75" customHeight="1" x14ac:dyDescent="0.15">
      <c r="R34" s="13"/>
      <c r="S34" s="14"/>
    </row>
    <row r="35" spans="18:19" ht="15.75" customHeight="1" x14ac:dyDescent="0.15">
      <c r="R35" s="13"/>
      <c r="S35" s="14"/>
    </row>
    <row r="36" spans="18:19" ht="15.75" customHeight="1" x14ac:dyDescent="0.15">
      <c r="R36" s="13"/>
      <c r="S36" s="14"/>
    </row>
    <row r="37" spans="18:19" ht="15.75" customHeight="1" x14ac:dyDescent="0.15">
      <c r="R37" s="13"/>
      <c r="S37" s="14"/>
    </row>
    <row r="38" spans="18:19" ht="15.75" customHeight="1" x14ac:dyDescent="0.15">
      <c r="R38" s="13"/>
      <c r="S38" s="14"/>
    </row>
    <row r="39" spans="18:19" ht="15.75" customHeight="1" x14ac:dyDescent="0.15">
      <c r="R39" s="13"/>
      <c r="S3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83"/>
  <sheetViews>
    <sheetView workbookViewId="0"/>
  </sheetViews>
  <sheetFormatPr baseColWidth="10" defaultColWidth="12.6640625" defaultRowHeight="15.75" customHeight="1" x14ac:dyDescent="0.15"/>
  <cols>
    <col min="1" max="1" width="25.6640625" customWidth="1"/>
    <col min="2" max="2" width="24.33203125" customWidth="1"/>
    <col min="7" max="7" width="16.33203125" customWidth="1"/>
    <col min="9" max="9" width="22.6640625" customWidth="1"/>
  </cols>
  <sheetData>
    <row r="1" spans="1:12" x14ac:dyDescent="0.2">
      <c r="A1" s="16" t="s">
        <v>192</v>
      </c>
      <c r="B1" s="16" t="s">
        <v>193</v>
      </c>
      <c r="C1" s="16" t="s">
        <v>194</v>
      </c>
      <c r="D1" s="16" t="s">
        <v>195</v>
      </c>
      <c r="E1" s="16" t="s">
        <v>196</v>
      </c>
      <c r="F1" s="16" t="s">
        <v>197</v>
      </c>
      <c r="G1" s="16" t="s">
        <v>198</v>
      </c>
      <c r="I1" s="15" t="s">
        <v>199</v>
      </c>
      <c r="J1" s="15">
        <f t="shared" ref="J1:J2" si="0">AVERAGE(E5,E20,E37,E52,E67,E82,E99,E114,E130,E145,E160,E173,E186,E201,E214,E229,E244,E257,E272)</f>
        <v>3.9203232730526318</v>
      </c>
    </row>
    <row r="2" spans="1:12" x14ac:dyDescent="0.2">
      <c r="A2" s="17" t="s">
        <v>200</v>
      </c>
      <c r="B2" s="17" t="s">
        <v>201</v>
      </c>
      <c r="C2" s="17">
        <v>1</v>
      </c>
      <c r="D2" s="17">
        <v>2025</v>
      </c>
      <c r="E2" s="18">
        <v>0.57704301099999999</v>
      </c>
      <c r="F2" s="18">
        <v>1.58</v>
      </c>
      <c r="G2" s="18">
        <v>0.13</v>
      </c>
      <c r="I2" s="15" t="s">
        <v>202</v>
      </c>
      <c r="J2" s="15">
        <f t="shared" si="0"/>
        <v>10.588628871842106</v>
      </c>
    </row>
    <row r="3" spans="1:12" x14ac:dyDescent="0.2">
      <c r="A3" s="17" t="s">
        <v>200</v>
      </c>
      <c r="B3" s="17" t="s">
        <v>201</v>
      </c>
      <c r="C3" s="17">
        <v>2</v>
      </c>
      <c r="D3" s="17">
        <v>2025</v>
      </c>
      <c r="E3" s="18">
        <v>0.24272321399999999</v>
      </c>
      <c r="F3" s="18">
        <v>0.38</v>
      </c>
      <c r="G3" s="18">
        <v>0.17</v>
      </c>
      <c r="I3" s="15" t="s">
        <v>203</v>
      </c>
      <c r="J3" s="15">
        <f>AVERAGE(E7,E8,E22,E23,E39,E40,E54,E55,E69,E70,E84,E85,E101,E102,E116,E117,E132,E133,E147,E148,E162,E163,E175,E176,E188,E189,E203,E204,E216,E217,E231,E232,E246,E247,E259,E274,E275)</f>
        <v>17.827402000540541</v>
      </c>
    </row>
    <row r="4" spans="1:12" x14ac:dyDescent="0.2">
      <c r="A4" s="17" t="s">
        <v>200</v>
      </c>
      <c r="B4" s="17" t="s">
        <v>201</v>
      </c>
      <c r="C4" s="17">
        <v>3</v>
      </c>
      <c r="D4" s="17">
        <v>2025</v>
      </c>
      <c r="E4" s="18">
        <v>1.238546433</v>
      </c>
      <c r="F4" s="18">
        <v>4.12</v>
      </c>
      <c r="G4" s="18">
        <v>0.13</v>
      </c>
    </row>
    <row r="5" spans="1:12" x14ac:dyDescent="0.2">
      <c r="A5" s="17" t="s">
        <v>200</v>
      </c>
      <c r="B5" s="17" t="s">
        <v>201</v>
      </c>
      <c r="C5" s="17">
        <v>4</v>
      </c>
      <c r="D5" s="17">
        <v>2025</v>
      </c>
      <c r="E5" s="18">
        <v>3.9846249999999999</v>
      </c>
      <c r="F5" s="18">
        <v>8.9600000000000009</v>
      </c>
      <c r="G5" s="18">
        <v>0.13</v>
      </c>
    </row>
    <row r="6" spans="1:12" x14ac:dyDescent="0.2">
      <c r="A6" s="17" t="s">
        <v>200</v>
      </c>
      <c r="B6" s="17" t="s">
        <v>201</v>
      </c>
      <c r="C6" s="17">
        <v>5</v>
      </c>
      <c r="D6" s="17">
        <v>2025</v>
      </c>
      <c r="E6" s="18">
        <v>11.37827957</v>
      </c>
      <c r="F6" s="18">
        <v>22.39</v>
      </c>
      <c r="G6" s="18">
        <v>4.93</v>
      </c>
      <c r="I6" s="21"/>
      <c r="J6" s="22" t="s">
        <v>304</v>
      </c>
      <c r="K6" s="23"/>
      <c r="L6" s="24"/>
    </row>
    <row r="7" spans="1:12" x14ac:dyDescent="0.2">
      <c r="A7" s="17" t="s">
        <v>200</v>
      </c>
      <c r="B7" s="17" t="s">
        <v>201</v>
      </c>
      <c r="C7" s="17">
        <v>6</v>
      </c>
      <c r="D7" s="17">
        <v>2024</v>
      </c>
      <c r="E7" s="18">
        <v>18.857253889999999</v>
      </c>
      <c r="F7" s="18">
        <v>28.95</v>
      </c>
      <c r="G7" s="18">
        <v>10.85</v>
      </c>
      <c r="I7" s="22" t="s">
        <v>192</v>
      </c>
      <c r="J7" s="21" t="s">
        <v>204</v>
      </c>
      <c r="K7" s="25" t="s">
        <v>205</v>
      </c>
      <c r="L7" s="26" t="s">
        <v>206</v>
      </c>
    </row>
    <row r="8" spans="1:12" x14ac:dyDescent="0.2">
      <c r="A8" s="17" t="s">
        <v>200</v>
      </c>
      <c r="B8" s="17" t="s">
        <v>201</v>
      </c>
      <c r="C8" s="17">
        <v>6</v>
      </c>
      <c r="D8" s="17">
        <v>2025</v>
      </c>
      <c r="E8" s="18">
        <v>17.822680559999998</v>
      </c>
      <c r="F8" s="18">
        <v>24.19</v>
      </c>
      <c r="G8" s="18">
        <v>12.18</v>
      </c>
      <c r="I8" s="21" t="s">
        <v>207</v>
      </c>
      <c r="J8" s="27">
        <v>5.7279230769230773</v>
      </c>
      <c r="K8" s="28">
        <v>15.656307692307694</v>
      </c>
      <c r="L8" s="29">
        <v>9.7515887061538482</v>
      </c>
    </row>
    <row r="9" spans="1:12" x14ac:dyDescent="0.2">
      <c r="A9" s="17" t="s">
        <v>200</v>
      </c>
      <c r="B9" s="17" t="s">
        <v>201</v>
      </c>
      <c r="C9" s="17">
        <v>7</v>
      </c>
      <c r="D9" s="17">
        <v>2024</v>
      </c>
      <c r="E9" s="18">
        <v>22.840201610000001</v>
      </c>
      <c r="F9" s="18">
        <v>29.94</v>
      </c>
      <c r="G9" s="18">
        <v>16.39</v>
      </c>
      <c r="I9" s="30" t="s">
        <v>208</v>
      </c>
      <c r="J9" s="31">
        <v>5.2112740389230785</v>
      </c>
      <c r="K9" s="32">
        <v>13.048845402846155</v>
      </c>
      <c r="L9" s="33">
        <v>8.445542115692307</v>
      </c>
    </row>
    <row r="10" spans="1:12" x14ac:dyDescent="0.2">
      <c r="A10" s="17" t="s">
        <v>200</v>
      </c>
      <c r="B10" s="17" t="s">
        <v>201</v>
      </c>
      <c r="C10" s="17">
        <v>7</v>
      </c>
      <c r="D10" s="17">
        <v>2025</v>
      </c>
      <c r="E10" s="18">
        <v>21.353346770000002</v>
      </c>
      <c r="F10" s="18">
        <v>29.56</v>
      </c>
      <c r="G10" s="18">
        <v>13.34</v>
      </c>
      <c r="I10" s="30" t="s">
        <v>209</v>
      </c>
      <c r="J10" s="31">
        <v>8.4382352941176482</v>
      </c>
      <c r="K10" s="32">
        <v>16.831176470588236</v>
      </c>
      <c r="L10" s="33">
        <v>11.95817269882353</v>
      </c>
    </row>
    <row r="11" spans="1:12" x14ac:dyDescent="0.2">
      <c r="A11" s="17" t="s">
        <v>200</v>
      </c>
      <c r="B11" s="17" t="s">
        <v>201</v>
      </c>
      <c r="C11" s="17">
        <v>8</v>
      </c>
      <c r="D11" s="17">
        <v>2024</v>
      </c>
      <c r="E11" s="18">
        <v>20.637889779999998</v>
      </c>
      <c r="F11" s="18">
        <v>28.14</v>
      </c>
      <c r="G11" s="18">
        <v>13.6</v>
      </c>
      <c r="I11" s="30" t="s">
        <v>210</v>
      </c>
      <c r="J11" s="31">
        <v>5.9446666666666657</v>
      </c>
      <c r="K11" s="32">
        <v>17.786000000000001</v>
      </c>
      <c r="L11" s="33">
        <v>11.007528450466667</v>
      </c>
    </row>
    <row r="12" spans="1:12" x14ac:dyDescent="0.2">
      <c r="A12" s="17" t="s">
        <v>200</v>
      </c>
      <c r="B12" s="17" t="s">
        <v>201</v>
      </c>
      <c r="C12" s="17">
        <v>8</v>
      </c>
      <c r="D12" s="17">
        <v>2025</v>
      </c>
      <c r="E12" s="18">
        <v>20.721556419999999</v>
      </c>
      <c r="F12" s="18">
        <v>26.38</v>
      </c>
      <c r="G12" s="18">
        <v>14.93</v>
      </c>
      <c r="I12" s="30" t="s">
        <v>211</v>
      </c>
      <c r="J12" s="31">
        <v>6.2737333333333334</v>
      </c>
      <c r="K12" s="32">
        <v>17.075866666666666</v>
      </c>
      <c r="L12" s="33">
        <v>10.991642688466666</v>
      </c>
    </row>
    <row r="13" spans="1:12" x14ac:dyDescent="0.2">
      <c r="A13" s="17" t="s">
        <v>200</v>
      </c>
      <c r="B13" s="17" t="s">
        <v>201</v>
      </c>
      <c r="C13" s="17">
        <v>9</v>
      </c>
      <c r="D13" s="17">
        <v>2024</v>
      </c>
      <c r="E13" s="18">
        <v>16.249152779999999</v>
      </c>
      <c r="F13" s="18">
        <v>24.02</v>
      </c>
      <c r="G13" s="18">
        <v>10.85</v>
      </c>
      <c r="I13" s="30" t="s">
        <v>212</v>
      </c>
      <c r="J13" s="31">
        <v>8.113999999999999</v>
      </c>
      <c r="K13" s="32">
        <v>15.86066666666667</v>
      </c>
      <c r="L13" s="33">
        <v>11.467337102933335</v>
      </c>
    </row>
    <row r="14" spans="1:12" x14ac:dyDescent="0.2">
      <c r="A14" s="17" t="s">
        <v>200</v>
      </c>
      <c r="B14" s="17" t="s">
        <v>201</v>
      </c>
      <c r="C14" s="17">
        <v>10</v>
      </c>
      <c r="D14" s="17">
        <v>2024</v>
      </c>
      <c r="E14" s="18">
        <v>8.8671102150000003</v>
      </c>
      <c r="F14" s="18">
        <v>13.94</v>
      </c>
      <c r="G14" s="18">
        <v>3.9</v>
      </c>
      <c r="I14" s="30" t="s">
        <v>200</v>
      </c>
      <c r="J14" s="31">
        <v>6.8653333333333331</v>
      </c>
      <c r="K14" s="32">
        <v>16.913333333333334</v>
      </c>
      <c r="L14" s="33">
        <v>11.339476139933332</v>
      </c>
    </row>
    <row r="15" spans="1:12" x14ac:dyDescent="0.2">
      <c r="A15" s="17" t="s">
        <v>200</v>
      </c>
      <c r="B15" s="17" t="s">
        <v>201</v>
      </c>
      <c r="C15" s="17">
        <v>11</v>
      </c>
      <c r="D15" s="17">
        <v>2024</v>
      </c>
      <c r="E15" s="18">
        <v>4.5217059639999997</v>
      </c>
      <c r="F15" s="18">
        <v>7.33</v>
      </c>
      <c r="G15" s="18">
        <v>1.24</v>
      </c>
      <c r="I15" s="30" t="s">
        <v>213</v>
      </c>
      <c r="J15" s="31">
        <v>5.9013333333333327</v>
      </c>
      <c r="K15" s="32">
        <v>16.605333333333331</v>
      </c>
      <c r="L15" s="33">
        <v>10.33067759926667</v>
      </c>
    </row>
    <row r="16" spans="1:12" x14ac:dyDescent="0.2">
      <c r="A16" s="17" t="s">
        <v>200</v>
      </c>
      <c r="B16" s="17" t="s">
        <v>201</v>
      </c>
      <c r="C16" s="17">
        <v>12</v>
      </c>
      <c r="D16" s="17">
        <v>2024</v>
      </c>
      <c r="E16" s="18">
        <v>0.80002688200000005</v>
      </c>
      <c r="F16" s="18">
        <v>3.82</v>
      </c>
      <c r="G16" s="18">
        <v>0.21</v>
      </c>
      <c r="I16" s="30" t="s">
        <v>214</v>
      </c>
      <c r="J16" s="31">
        <v>7.4776470588235293</v>
      </c>
      <c r="K16" s="32">
        <v>16.022941176470592</v>
      </c>
      <c r="L16" s="33">
        <v>10.928438752235294</v>
      </c>
    </row>
    <row r="17" spans="1:12" x14ac:dyDescent="0.2">
      <c r="A17" s="17" t="s">
        <v>209</v>
      </c>
      <c r="B17" s="17" t="s">
        <v>215</v>
      </c>
      <c r="C17" s="17">
        <v>1</v>
      </c>
      <c r="D17" s="17">
        <v>2025</v>
      </c>
      <c r="E17" s="18">
        <v>1.1465322579999999</v>
      </c>
      <c r="F17" s="18">
        <v>1.93</v>
      </c>
      <c r="G17" s="18">
        <v>0.34</v>
      </c>
      <c r="I17" s="30" t="s">
        <v>216</v>
      </c>
      <c r="J17" s="31">
        <v>5.9205384615384613</v>
      </c>
      <c r="K17" s="32">
        <v>15.801769230769231</v>
      </c>
      <c r="L17" s="33">
        <v>9.7896560026153843</v>
      </c>
    </row>
    <row r="18" spans="1:12" x14ac:dyDescent="0.2">
      <c r="A18" s="17" t="s">
        <v>209</v>
      </c>
      <c r="B18" s="17" t="s">
        <v>215</v>
      </c>
      <c r="C18" s="17">
        <v>2</v>
      </c>
      <c r="D18" s="17">
        <v>2025</v>
      </c>
      <c r="E18" s="18">
        <v>1.0261309519999999</v>
      </c>
      <c r="F18" s="18">
        <v>2.27</v>
      </c>
      <c r="G18" s="18">
        <v>0.47</v>
      </c>
      <c r="I18" s="30" t="s">
        <v>217</v>
      </c>
      <c r="J18" s="31">
        <v>6.7039999999999997</v>
      </c>
      <c r="K18" s="32">
        <v>15.617999999999999</v>
      </c>
      <c r="L18" s="33">
        <v>10.717379217600001</v>
      </c>
    </row>
    <row r="19" spans="1:12" x14ac:dyDescent="0.2">
      <c r="A19" s="17" t="s">
        <v>209</v>
      </c>
      <c r="B19" s="17" t="s">
        <v>215</v>
      </c>
      <c r="C19" s="17">
        <v>3</v>
      </c>
      <c r="D19" s="17">
        <v>2025</v>
      </c>
      <c r="E19" s="18">
        <v>2.3496769849999999</v>
      </c>
      <c r="F19" s="18">
        <v>4.93</v>
      </c>
      <c r="G19" s="18">
        <v>0.9</v>
      </c>
      <c r="I19" s="30" t="s">
        <v>218</v>
      </c>
      <c r="J19" s="31">
        <v>7.3989739582</v>
      </c>
      <c r="K19" s="32">
        <v>16.082013021200002</v>
      </c>
      <c r="L19" s="33">
        <v>11.113304186533334</v>
      </c>
    </row>
    <row r="20" spans="1:12" x14ac:dyDescent="0.2">
      <c r="A20" s="17" t="s">
        <v>209</v>
      </c>
      <c r="B20" s="17" t="s">
        <v>215</v>
      </c>
      <c r="C20" s="17">
        <v>4</v>
      </c>
      <c r="D20" s="17">
        <v>2025</v>
      </c>
      <c r="E20" s="18">
        <v>4.6849444440000001</v>
      </c>
      <c r="F20" s="18">
        <v>7.72</v>
      </c>
      <c r="G20" s="18">
        <v>2.44</v>
      </c>
      <c r="I20" s="30" t="s">
        <v>219</v>
      </c>
      <c r="J20" s="31">
        <v>8.2075000000000014</v>
      </c>
      <c r="K20" s="32">
        <v>16.226249999999997</v>
      </c>
      <c r="L20" s="33">
        <v>11.477862766125</v>
      </c>
    </row>
    <row r="21" spans="1:12" x14ac:dyDescent="0.2">
      <c r="A21" s="17" t="s">
        <v>209</v>
      </c>
      <c r="B21" s="17" t="s">
        <v>215</v>
      </c>
      <c r="C21" s="17">
        <v>5</v>
      </c>
      <c r="D21" s="17">
        <v>2025</v>
      </c>
      <c r="E21" s="18">
        <v>10.53407258</v>
      </c>
      <c r="F21" s="18">
        <v>18.059999999999999</v>
      </c>
      <c r="G21" s="18">
        <v>5.7</v>
      </c>
      <c r="I21" s="30" t="s">
        <v>220</v>
      </c>
      <c r="J21" s="31">
        <v>6.0833333333333321</v>
      </c>
      <c r="K21" s="32">
        <v>15.586666666666668</v>
      </c>
      <c r="L21" s="33">
        <v>10.361629527000002</v>
      </c>
    </row>
    <row r="22" spans="1:12" x14ac:dyDescent="0.2">
      <c r="A22" s="17" t="s">
        <v>209</v>
      </c>
      <c r="B22" s="17" t="s">
        <v>215</v>
      </c>
      <c r="C22" s="17">
        <v>6</v>
      </c>
      <c r="D22" s="17">
        <v>2024</v>
      </c>
      <c r="E22" s="18">
        <v>19.261162280000001</v>
      </c>
      <c r="F22" s="18">
        <v>30.07</v>
      </c>
      <c r="G22" s="18">
        <v>16.21</v>
      </c>
      <c r="I22" s="30" t="s">
        <v>221</v>
      </c>
      <c r="J22" s="31">
        <v>6.7061999999999999</v>
      </c>
      <c r="K22" s="32">
        <v>16.212800000000001</v>
      </c>
      <c r="L22" s="33">
        <v>10.959806601866665</v>
      </c>
    </row>
    <row r="23" spans="1:12" x14ac:dyDescent="0.2">
      <c r="A23" s="17" t="s">
        <v>209</v>
      </c>
      <c r="B23" s="17" t="s">
        <v>215</v>
      </c>
      <c r="C23" s="17">
        <v>6</v>
      </c>
      <c r="D23" s="17">
        <v>2025</v>
      </c>
      <c r="E23" s="18">
        <v>17.42706944</v>
      </c>
      <c r="F23" s="18">
        <v>21.96</v>
      </c>
      <c r="G23" s="18">
        <v>13.51</v>
      </c>
      <c r="I23" s="30" t="s">
        <v>222</v>
      </c>
      <c r="J23" s="31">
        <v>6.6417999999999999</v>
      </c>
      <c r="K23" s="32">
        <v>16.791266666666665</v>
      </c>
      <c r="L23" s="33">
        <v>10.897679031399999</v>
      </c>
    </row>
    <row r="24" spans="1:12" x14ac:dyDescent="0.2">
      <c r="A24" s="17" t="s">
        <v>209</v>
      </c>
      <c r="B24" s="17" t="s">
        <v>215</v>
      </c>
      <c r="C24" s="17">
        <v>7</v>
      </c>
      <c r="D24" s="17">
        <v>2024</v>
      </c>
      <c r="E24" s="18">
        <v>22.637553759999999</v>
      </c>
      <c r="F24" s="18">
        <v>28.27</v>
      </c>
      <c r="G24" s="18">
        <v>16.3</v>
      </c>
      <c r="I24" s="30" t="s">
        <v>223</v>
      </c>
      <c r="J24" s="31">
        <v>7.9019999999999984</v>
      </c>
      <c r="K24" s="32">
        <v>15.073333333333331</v>
      </c>
      <c r="L24" s="33">
        <v>11.354973077066665</v>
      </c>
    </row>
    <row r="25" spans="1:12" x14ac:dyDescent="0.2">
      <c r="A25" s="17" t="s">
        <v>209</v>
      </c>
      <c r="B25" s="17" t="s">
        <v>215</v>
      </c>
      <c r="C25" s="17">
        <v>7</v>
      </c>
      <c r="D25" s="17">
        <v>2025</v>
      </c>
      <c r="E25" s="18">
        <v>21.084610219999998</v>
      </c>
      <c r="F25" s="18">
        <v>29.04</v>
      </c>
      <c r="G25" s="18">
        <v>15.31</v>
      </c>
      <c r="I25" s="30" t="s">
        <v>224</v>
      </c>
      <c r="J25" s="31">
        <v>6.9156295574666675</v>
      </c>
      <c r="K25" s="32">
        <v>16.508156901400003</v>
      </c>
      <c r="L25" s="33">
        <v>11.035834536666666</v>
      </c>
    </row>
    <row r="26" spans="1:12" x14ac:dyDescent="0.2">
      <c r="A26" s="17" t="s">
        <v>209</v>
      </c>
      <c r="B26" s="17" t="s">
        <v>215</v>
      </c>
      <c r="C26" s="17">
        <v>8</v>
      </c>
      <c r="D26" s="17">
        <v>2024</v>
      </c>
      <c r="E26" s="18">
        <v>21.49758065</v>
      </c>
      <c r="F26" s="18">
        <v>27.15</v>
      </c>
      <c r="G26" s="18">
        <v>15.06</v>
      </c>
      <c r="I26" s="30" t="s">
        <v>225</v>
      </c>
      <c r="J26" s="31">
        <v>5.8515384615384622</v>
      </c>
      <c r="K26" s="32">
        <v>14.074615384615383</v>
      </c>
      <c r="L26" s="33">
        <v>9.2440913864615375</v>
      </c>
    </row>
    <row r="27" spans="1:12" x14ac:dyDescent="0.2">
      <c r="A27" s="17" t="s">
        <v>209</v>
      </c>
      <c r="B27" s="17" t="s">
        <v>215</v>
      </c>
      <c r="C27" s="17">
        <v>8</v>
      </c>
      <c r="D27" s="17">
        <v>2025</v>
      </c>
      <c r="E27" s="18">
        <v>20.057258059999999</v>
      </c>
      <c r="F27" s="18">
        <v>28.14</v>
      </c>
      <c r="G27" s="18">
        <v>14.11</v>
      </c>
      <c r="I27" s="30" t="s">
        <v>305</v>
      </c>
      <c r="J27" s="31"/>
      <c r="K27" s="32"/>
      <c r="L27" s="33"/>
    </row>
    <row r="28" spans="1:12" x14ac:dyDescent="0.2">
      <c r="A28" s="17" t="s">
        <v>209</v>
      </c>
      <c r="B28" s="17" t="s">
        <v>215</v>
      </c>
      <c r="C28" s="17">
        <v>9</v>
      </c>
      <c r="D28" s="17">
        <v>2024</v>
      </c>
      <c r="E28" s="18">
        <v>17.102638890000001</v>
      </c>
      <c r="F28" s="18">
        <v>23.46</v>
      </c>
      <c r="G28" s="18">
        <v>13.34</v>
      </c>
      <c r="I28" s="34" t="s">
        <v>226</v>
      </c>
      <c r="J28" s="35">
        <v>6.8046156568829819</v>
      </c>
      <c r="K28" s="36">
        <v>16.033338791049651</v>
      </c>
      <c r="L28" s="37">
        <v>10.746023539205673</v>
      </c>
    </row>
    <row r="29" spans="1:12" x14ac:dyDescent="0.2">
      <c r="A29" s="17" t="s">
        <v>209</v>
      </c>
      <c r="B29" s="17" t="s">
        <v>215</v>
      </c>
      <c r="C29" s="17">
        <v>9</v>
      </c>
      <c r="D29" s="17">
        <v>2025</v>
      </c>
      <c r="E29" s="18">
        <v>16.42148611</v>
      </c>
      <c r="F29" s="18">
        <v>21.45</v>
      </c>
      <c r="G29" s="18">
        <v>12.27</v>
      </c>
    </row>
    <row r="30" spans="1:12" x14ac:dyDescent="0.2">
      <c r="A30" s="17" t="s">
        <v>209</v>
      </c>
      <c r="B30" s="17" t="s">
        <v>215</v>
      </c>
      <c r="C30" s="17">
        <v>10</v>
      </c>
      <c r="D30" s="17">
        <v>2024</v>
      </c>
      <c r="E30" s="18">
        <v>10.11729839</v>
      </c>
      <c r="F30" s="18">
        <v>14.58</v>
      </c>
      <c r="G30" s="18">
        <v>5.83</v>
      </c>
    </row>
    <row r="31" spans="1:12" x14ac:dyDescent="0.2">
      <c r="A31" s="17" t="s">
        <v>209</v>
      </c>
      <c r="B31" s="17" t="s">
        <v>215</v>
      </c>
      <c r="C31" s="17">
        <v>10</v>
      </c>
      <c r="D31" s="17">
        <v>2025</v>
      </c>
      <c r="E31" s="18">
        <v>11.34656069</v>
      </c>
      <c r="F31" s="18">
        <v>16</v>
      </c>
      <c r="G31" s="18">
        <v>8.41</v>
      </c>
    </row>
    <row r="32" spans="1:12" x14ac:dyDescent="0.2">
      <c r="A32" s="17" t="s">
        <v>209</v>
      </c>
      <c r="B32" s="17" t="s">
        <v>215</v>
      </c>
      <c r="C32" s="17">
        <v>11</v>
      </c>
      <c r="D32" s="17">
        <v>2024</v>
      </c>
      <c r="E32" s="18">
        <v>5.3871289879999997</v>
      </c>
      <c r="F32" s="18">
        <v>7.03</v>
      </c>
      <c r="G32" s="18">
        <v>2.87</v>
      </c>
    </row>
    <row r="33" spans="1:7" x14ac:dyDescent="0.2">
      <c r="A33" s="17" t="s">
        <v>209</v>
      </c>
      <c r="B33" s="17" t="s">
        <v>215</v>
      </c>
      <c r="C33" s="17">
        <v>12</v>
      </c>
      <c r="D33" s="17">
        <v>2024</v>
      </c>
      <c r="E33" s="18">
        <v>1.207231183</v>
      </c>
      <c r="F33" s="18">
        <v>4.07</v>
      </c>
      <c r="G33" s="18">
        <v>0.38</v>
      </c>
    </row>
    <row r="34" spans="1:7" x14ac:dyDescent="0.2">
      <c r="A34" s="17" t="s">
        <v>210</v>
      </c>
      <c r="B34" s="17" t="s">
        <v>227</v>
      </c>
      <c r="C34" s="17">
        <v>1</v>
      </c>
      <c r="D34" s="17">
        <v>2025</v>
      </c>
      <c r="E34" s="18">
        <v>0.39002688200000002</v>
      </c>
      <c r="F34" s="18">
        <v>1.54</v>
      </c>
      <c r="G34" s="18">
        <v>0.08</v>
      </c>
    </row>
    <row r="35" spans="1:7" x14ac:dyDescent="0.2">
      <c r="A35" s="17" t="s">
        <v>210</v>
      </c>
      <c r="B35" s="17" t="s">
        <v>227</v>
      </c>
      <c r="C35" s="17">
        <v>2</v>
      </c>
      <c r="D35" s="17">
        <v>2025</v>
      </c>
      <c r="E35" s="18">
        <v>0.160669643</v>
      </c>
      <c r="F35" s="18">
        <v>0.25</v>
      </c>
      <c r="G35" s="18">
        <v>0.08</v>
      </c>
    </row>
    <row r="36" spans="1:7" x14ac:dyDescent="0.2">
      <c r="A36" s="17" t="s">
        <v>210</v>
      </c>
      <c r="B36" s="17" t="s">
        <v>227</v>
      </c>
      <c r="C36" s="17">
        <v>3</v>
      </c>
      <c r="D36" s="17">
        <v>2025</v>
      </c>
      <c r="E36" s="18">
        <v>1.0297039029999999</v>
      </c>
      <c r="F36" s="18">
        <v>5.49</v>
      </c>
      <c r="G36" s="18">
        <v>0.08</v>
      </c>
    </row>
    <row r="37" spans="1:7" x14ac:dyDescent="0.2">
      <c r="A37" s="17" t="s">
        <v>210</v>
      </c>
      <c r="B37" s="17" t="s">
        <v>227</v>
      </c>
      <c r="C37" s="17">
        <v>4</v>
      </c>
      <c r="D37" s="17">
        <v>2025</v>
      </c>
      <c r="E37" s="18">
        <v>4.8039722219999996</v>
      </c>
      <c r="F37" s="18">
        <v>11.49</v>
      </c>
      <c r="G37" s="18">
        <v>0.08</v>
      </c>
    </row>
    <row r="38" spans="1:7" x14ac:dyDescent="0.2">
      <c r="A38" s="17" t="s">
        <v>210</v>
      </c>
      <c r="B38" s="17" t="s">
        <v>227</v>
      </c>
      <c r="C38" s="17">
        <v>5</v>
      </c>
      <c r="D38" s="17">
        <v>2025</v>
      </c>
      <c r="E38" s="18">
        <v>11.815134410000001</v>
      </c>
      <c r="F38" s="18">
        <v>23.55</v>
      </c>
      <c r="G38" s="18">
        <v>3.86</v>
      </c>
    </row>
    <row r="39" spans="1:7" x14ac:dyDescent="0.2">
      <c r="A39" s="17" t="s">
        <v>210</v>
      </c>
      <c r="B39" s="17" t="s">
        <v>227</v>
      </c>
      <c r="C39" s="17">
        <v>6</v>
      </c>
      <c r="D39" s="17">
        <v>2024</v>
      </c>
      <c r="E39" s="18">
        <v>19.283154509999999</v>
      </c>
      <c r="F39" s="18">
        <v>31.74</v>
      </c>
      <c r="G39" s="18">
        <v>14.75</v>
      </c>
    </row>
    <row r="40" spans="1:7" x14ac:dyDescent="0.2">
      <c r="A40" s="17" t="s">
        <v>210</v>
      </c>
      <c r="B40" s="17" t="s">
        <v>227</v>
      </c>
      <c r="C40" s="17">
        <v>6</v>
      </c>
      <c r="D40" s="17">
        <v>2025</v>
      </c>
      <c r="E40" s="18">
        <v>17.654194440000001</v>
      </c>
      <c r="F40" s="18">
        <v>27.07</v>
      </c>
      <c r="G40" s="18">
        <v>11.54</v>
      </c>
    </row>
    <row r="41" spans="1:7" x14ac:dyDescent="0.2">
      <c r="A41" s="17" t="s">
        <v>210</v>
      </c>
      <c r="B41" s="17" t="s">
        <v>227</v>
      </c>
      <c r="C41" s="17">
        <v>7</v>
      </c>
      <c r="D41" s="17">
        <v>2024</v>
      </c>
      <c r="E41" s="18">
        <v>22.322876340000001</v>
      </c>
      <c r="F41" s="18">
        <v>30.46</v>
      </c>
      <c r="G41" s="18">
        <v>15.66</v>
      </c>
    </row>
    <row r="42" spans="1:7" x14ac:dyDescent="0.2">
      <c r="A42" s="17" t="s">
        <v>210</v>
      </c>
      <c r="B42" s="17" t="s">
        <v>227</v>
      </c>
      <c r="C42" s="17">
        <v>7</v>
      </c>
      <c r="D42" s="17">
        <v>2025</v>
      </c>
      <c r="E42" s="18">
        <v>20.26076613</v>
      </c>
      <c r="F42" s="18">
        <v>29.47</v>
      </c>
      <c r="G42" s="18">
        <v>10.94</v>
      </c>
    </row>
    <row r="43" spans="1:7" x14ac:dyDescent="0.2">
      <c r="A43" s="17" t="s">
        <v>210</v>
      </c>
      <c r="B43" s="17" t="s">
        <v>227</v>
      </c>
      <c r="C43" s="17">
        <v>8</v>
      </c>
      <c r="D43" s="17">
        <v>2024</v>
      </c>
      <c r="E43" s="18">
        <v>19.741693550000001</v>
      </c>
      <c r="F43" s="18">
        <v>28.91</v>
      </c>
      <c r="G43" s="18">
        <v>12.01</v>
      </c>
    </row>
    <row r="44" spans="1:7" x14ac:dyDescent="0.2">
      <c r="A44" s="17" t="s">
        <v>210</v>
      </c>
      <c r="B44" s="17" t="s">
        <v>227</v>
      </c>
      <c r="C44" s="17">
        <v>8</v>
      </c>
      <c r="D44" s="17">
        <v>2025</v>
      </c>
      <c r="E44" s="18">
        <v>18.639316239999999</v>
      </c>
      <c r="F44" s="18">
        <v>29.51</v>
      </c>
      <c r="G44" s="18">
        <v>8.5299999999999994</v>
      </c>
    </row>
    <row r="45" spans="1:7" x14ac:dyDescent="0.2">
      <c r="A45" s="17" t="s">
        <v>210</v>
      </c>
      <c r="B45" s="17" t="s">
        <v>227</v>
      </c>
      <c r="C45" s="17">
        <v>9</v>
      </c>
      <c r="D45" s="17">
        <v>2024</v>
      </c>
      <c r="E45" s="18">
        <v>14.798444440000001</v>
      </c>
      <c r="F45" s="18">
        <v>22.39</v>
      </c>
      <c r="G45" s="18">
        <v>7.33</v>
      </c>
    </row>
    <row r="46" spans="1:7" x14ac:dyDescent="0.2">
      <c r="A46" s="17" t="s">
        <v>210</v>
      </c>
      <c r="B46" s="17" t="s">
        <v>227</v>
      </c>
      <c r="C46" s="17">
        <v>10</v>
      </c>
      <c r="D46" s="17">
        <v>2024</v>
      </c>
      <c r="E46" s="18">
        <v>8.7613709679999996</v>
      </c>
      <c r="F46" s="18">
        <v>13.9</v>
      </c>
      <c r="G46" s="18">
        <v>3.21</v>
      </c>
    </row>
    <row r="47" spans="1:7" x14ac:dyDescent="0.2">
      <c r="A47" s="17" t="s">
        <v>210</v>
      </c>
      <c r="B47" s="17" t="s">
        <v>227</v>
      </c>
      <c r="C47" s="17">
        <v>11</v>
      </c>
      <c r="D47" s="17">
        <v>2024</v>
      </c>
      <c r="E47" s="18">
        <v>4.8570735090000001</v>
      </c>
      <c r="F47" s="18">
        <v>8.19</v>
      </c>
      <c r="G47" s="18">
        <v>0.94</v>
      </c>
    </row>
    <row r="48" spans="1:7" x14ac:dyDescent="0.2">
      <c r="A48" s="17" t="s">
        <v>210</v>
      </c>
      <c r="B48" s="17" t="s">
        <v>227</v>
      </c>
      <c r="C48" s="17">
        <v>12</v>
      </c>
      <c r="D48" s="17">
        <v>2024</v>
      </c>
      <c r="E48" s="18">
        <v>0.59452956999999995</v>
      </c>
      <c r="F48" s="18">
        <v>2.83</v>
      </c>
      <c r="G48" s="18">
        <v>0.08</v>
      </c>
    </row>
    <row r="49" spans="1:7" x14ac:dyDescent="0.2">
      <c r="A49" s="17" t="s">
        <v>212</v>
      </c>
      <c r="B49" s="17" t="s">
        <v>228</v>
      </c>
      <c r="C49" s="17">
        <v>1</v>
      </c>
      <c r="D49" s="17">
        <v>2025</v>
      </c>
      <c r="E49" s="18">
        <v>0.37655914000000001</v>
      </c>
      <c r="F49" s="18">
        <v>1.58</v>
      </c>
      <c r="G49" s="18">
        <v>0.13</v>
      </c>
    </row>
    <row r="50" spans="1:7" x14ac:dyDescent="0.2">
      <c r="A50" s="17" t="s">
        <v>212</v>
      </c>
      <c r="B50" s="17" t="s">
        <v>228</v>
      </c>
      <c r="C50" s="17">
        <v>2</v>
      </c>
      <c r="D50" s="17">
        <v>2025</v>
      </c>
      <c r="E50" s="18">
        <v>0.20336309499999999</v>
      </c>
      <c r="F50" s="18">
        <v>0.3</v>
      </c>
      <c r="G50" s="18">
        <v>0.13</v>
      </c>
    </row>
    <row r="51" spans="1:7" x14ac:dyDescent="0.2">
      <c r="A51" s="17" t="s">
        <v>212</v>
      </c>
      <c r="B51" s="17" t="s">
        <v>228</v>
      </c>
      <c r="C51" s="17">
        <v>3</v>
      </c>
      <c r="D51" s="17">
        <v>2025</v>
      </c>
      <c r="E51" s="18">
        <v>1.1411978469999999</v>
      </c>
      <c r="F51" s="18">
        <v>4.8899999999999997</v>
      </c>
      <c r="G51" s="18">
        <v>0.08</v>
      </c>
    </row>
    <row r="52" spans="1:7" x14ac:dyDescent="0.2">
      <c r="A52" s="17" t="s">
        <v>212</v>
      </c>
      <c r="B52" s="17" t="s">
        <v>228</v>
      </c>
      <c r="C52" s="17">
        <v>4</v>
      </c>
      <c r="D52" s="17">
        <v>2025</v>
      </c>
      <c r="E52" s="18">
        <v>4.6000833329999997</v>
      </c>
      <c r="F52" s="18">
        <v>9.2200000000000006</v>
      </c>
      <c r="G52" s="18">
        <v>0.55000000000000004</v>
      </c>
    </row>
    <row r="53" spans="1:7" x14ac:dyDescent="0.2">
      <c r="A53" s="17" t="s">
        <v>212</v>
      </c>
      <c r="B53" s="17" t="s">
        <v>228</v>
      </c>
      <c r="C53" s="17">
        <v>5</v>
      </c>
      <c r="D53" s="17">
        <v>2025</v>
      </c>
      <c r="E53" s="18">
        <v>11.532741939999999</v>
      </c>
      <c r="F53" s="18">
        <v>18.57</v>
      </c>
      <c r="G53" s="18">
        <v>5.75</v>
      </c>
    </row>
    <row r="54" spans="1:7" x14ac:dyDescent="0.2">
      <c r="A54" s="17" t="s">
        <v>212</v>
      </c>
      <c r="B54" s="17" t="s">
        <v>228</v>
      </c>
      <c r="C54" s="17">
        <v>6</v>
      </c>
      <c r="D54" s="17">
        <v>2024</v>
      </c>
      <c r="E54" s="18">
        <v>19.954324320000001</v>
      </c>
      <c r="F54" s="18">
        <v>25.78</v>
      </c>
      <c r="G54" s="18">
        <v>15.87</v>
      </c>
    </row>
    <row r="55" spans="1:7" x14ac:dyDescent="0.2">
      <c r="A55" s="17" t="s">
        <v>212</v>
      </c>
      <c r="B55" s="17" t="s">
        <v>228</v>
      </c>
      <c r="C55" s="17">
        <v>6</v>
      </c>
      <c r="D55" s="17">
        <v>2025</v>
      </c>
      <c r="E55" s="18">
        <v>17.965986109999999</v>
      </c>
      <c r="F55" s="18">
        <v>22.22</v>
      </c>
      <c r="G55" s="18">
        <v>13.64</v>
      </c>
    </row>
    <row r="56" spans="1:7" x14ac:dyDescent="0.2">
      <c r="A56" s="17" t="s">
        <v>212</v>
      </c>
      <c r="B56" s="17" t="s">
        <v>228</v>
      </c>
      <c r="C56" s="17">
        <v>7</v>
      </c>
      <c r="D56" s="17">
        <v>2024</v>
      </c>
      <c r="E56" s="18">
        <v>22.326854839999999</v>
      </c>
      <c r="F56" s="18">
        <v>26.42</v>
      </c>
      <c r="G56" s="18">
        <v>17.11</v>
      </c>
    </row>
    <row r="57" spans="1:7" x14ac:dyDescent="0.2">
      <c r="A57" s="17" t="s">
        <v>212</v>
      </c>
      <c r="B57" s="17" t="s">
        <v>228</v>
      </c>
      <c r="C57" s="17">
        <v>7</v>
      </c>
      <c r="D57" s="17">
        <v>2025</v>
      </c>
      <c r="E57" s="18">
        <v>21.285255379999999</v>
      </c>
      <c r="F57" s="18">
        <v>28.57</v>
      </c>
      <c r="G57" s="18">
        <v>17.11</v>
      </c>
    </row>
    <row r="58" spans="1:7" x14ac:dyDescent="0.2">
      <c r="A58" s="17" t="s">
        <v>212</v>
      </c>
      <c r="B58" s="17" t="s">
        <v>228</v>
      </c>
      <c r="C58" s="17">
        <v>8</v>
      </c>
      <c r="D58" s="17">
        <v>2024</v>
      </c>
      <c r="E58" s="18">
        <v>20.717069890000001</v>
      </c>
      <c r="F58" s="18">
        <v>25.99</v>
      </c>
      <c r="G58" s="18">
        <v>16.77</v>
      </c>
    </row>
    <row r="59" spans="1:7" x14ac:dyDescent="0.2">
      <c r="A59" s="17" t="s">
        <v>212</v>
      </c>
      <c r="B59" s="17" t="s">
        <v>228</v>
      </c>
      <c r="C59" s="17">
        <v>8</v>
      </c>
      <c r="D59" s="17">
        <v>2025</v>
      </c>
      <c r="E59" s="18">
        <v>21.333662919999998</v>
      </c>
      <c r="F59" s="18">
        <v>27.84</v>
      </c>
      <c r="G59" s="18">
        <v>17.46</v>
      </c>
    </row>
    <row r="60" spans="1:7" x14ac:dyDescent="0.2">
      <c r="A60" s="17" t="s">
        <v>212</v>
      </c>
      <c r="B60" s="17" t="s">
        <v>228</v>
      </c>
      <c r="C60" s="17">
        <v>9</v>
      </c>
      <c r="D60" s="17">
        <v>2024</v>
      </c>
      <c r="E60" s="18">
        <v>16.188624999999998</v>
      </c>
      <c r="F60" s="18">
        <v>21.4</v>
      </c>
      <c r="G60" s="18">
        <v>11.49</v>
      </c>
    </row>
    <row r="61" spans="1:7" x14ac:dyDescent="0.2">
      <c r="A61" s="17" t="s">
        <v>212</v>
      </c>
      <c r="B61" s="17" t="s">
        <v>228</v>
      </c>
      <c r="C61" s="17">
        <v>10</v>
      </c>
      <c r="D61" s="17">
        <v>2024</v>
      </c>
      <c r="E61" s="18">
        <v>8.9216666670000002</v>
      </c>
      <c r="F61" s="18">
        <v>13.12</v>
      </c>
      <c r="G61" s="18">
        <v>3.69</v>
      </c>
    </row>
    <row r="62" spans="1:7" x14ac:dyDescent="0.2">
      <c r="A62" s="17" t="s">
        <v>212</v>
      </c>
      <c r="B62" s="17" t="s">
        <v>228</v>
      </c>
      <c r="C62" s="17">
        <v>11</v>
      </c>
      <c r="D62" s="17">
        <v>2024</v>
      </c>
      <c r="E62" s="18">
        <v>5.0162413309999998</v>
      </c>
      <c r="F62" s="18">
        <v>8.02</v>
      </c>
      <c r="G62" s="18">
        <v>1.8</v>
      </c>
    </row>
    <row r="63" spans="1:7" x14ac:dyDescent="0.2">
      <c r="A63" s="17" t="s">
        <v>212</v>
      </c>
      <c r="B63" s="17" t="s">
        <v>228</v>
      </c>
      <c r="C63" s="17">
        <v>12</v>
      </c>
      <c r="D63" s="17">
        <v>2024</v>
      </c>
      <c r="E63" s="18">
        <v>0.44642473100000002</v>
      </c>
      <c r="F63" s="18">
        <v>3.99</v>
      </c>
      <c r="G63" s="18">
        <v>0.13</v>
      </c>
    </row>
    <row r="64" spans="1:7" x14ac:dyDescent="0.2">
      <c r="A64" s="17" t="s">
        <v>213</v>
      </c>
      <c r="B64" s="17" t="s">
        <v>229</v>
      </c>
      <c r="C64" s="17">
        <v>1</v>
      </c>
      <c r="D64" s="17">
        <v>2025</v>
      </c>
      <c r="E64" s="18">
        <v>0.39208333299999998</v>
      </c>
      <c r="F64" s="18">
        <v>2.06</v>
      </c>
      <c r="G64" s="18">
        <v>0.08</v>
      </c>
    </row>
    <row r="65" spans="1:7" x14ac:dyDescent="0.2">
      <c r="A65" s="17" t="s">
        <v>213</v>
      </c>
      <c r="B65" s="17" t="s">
        <v>229</v>
      </c>
      <c r="C65" s="17">
        <v>2</v>
      </c>
      <c r="D65" s="17">
        <v>2025</v>
      </c>
      <c r="E65" s="18">
        <v>0.20898809500000001</v>
      </c>
      <c r="F65" s="18">
        <v>0.47</v>
      </c>
      <c r="G65" s="18">
        <v>0.08</v>
      </c>
    </row>
    <row r="66" spans="1:7" x14ac:dyDescent="0.2">
      <c r="A66" s="17" t="s">
        <v>213</v>
      </c>
      <c r="B66" s="17" t="s">
        <v>229</v>
      </c>
      <c r="C66" s="17">
        <v>3</v>
      </c>
      <c r="D66" s="17">
        <v>2025</v>
      </c>
      <c r="E66" s="18">
        <v>0.863472409</v>
      </c>
      <c r="F66" s="18">
        <v>4.42</v>
      </c>
      <c r="G66" s="18">
        <v>0.08</v>
      </c>
    </row>
    <row r="67" spans="1:7" x14ac:dyDescent="0.2">
      <c r="A67" s="17" t="s">
        <v>213</v>
      </c>
      <c r="B67" s="17" t="s">
        <v>229</v>
      </c>
      <c r="C67" s="17">
        <v>4</v>
      </c>
      <c r="D67" s="17">
        <v>2025</v>
      </c>
      <c r="E67" s="18">
        <v>2.949555556</v>
      </c>
      <c r="F67" s="18">
        <v>9.61</v>
      </c>
      <c r="G67" s="18">
        <v>0.08</v>
      </c>
    </row>
    <row r="68" spans="1:7" x14ac:dyDescent="0.2">
      <c r="A68" s="17" t="s">
        <v>213</v>
      </c>
      <c r="B68" s="17" t="s">
        <v>229</v>
      </c>
      <c r="C68" s="17">
        <v>5</v>
      </c>
      <c r="D68" s="17">
        <v>2025</v>
      </c>
      <c r="E68" s="18">
        <v>9.9070564520000008</v>
      </c>
      <c r="F68" s="18">
        <v>21.7</v>
      </c>
      <c r="G68" s="18">
        <v>2.5299999999999998</v>
      </c>
    </row>
    <row r="69" spans="1:7" x14ac:dyDescent="0.2">
      <c r="A69" s="17" t="s">
        <v>213</v>
      </c>
      <c r="B69" s="17" t="s">
        <v>229</v>
      </c>
      <c r="C69" s="17">
        <v>6</v>
      </c>
      <c r="D69" s="17">
        <v>2024</v>
      </c>
      <c r="E69" s="18">
        <v>16.887284480000002</v>
      </c>
      <c r="F69" s="18">
        <v>26.21</v>
      </c>
      <c r="G69" s="18">
        <v>12.31</v>
      </c>
    </row>
    <row r="70" spans="1:7" x14ac:dyDescent="0.2">
      <c r="A70" s="17" t="s">
        <v>213</v>
      </c>
      <c r="B70" s="17" t="s">
        <v>229</v>
      </c>
      <c r="C70" s="17">
        <v>6</v>
      </c>
      <c r="D70" s="17">
        <v>2025</v>
      </c>
      <c r="E70" s="18">
        <v>15.85116667</v>
      </c>
      <c r="F70" s="18">
        <v>24.79</v>
      </c>
      <c r="G70" s="18">
        <v>9.0500000000000007</v>
      </c>
    </row>
    <row r="71" spans="1:7" x14ac:dyDescent="0.2">
      <c r="A71" s="17" t="s">
        <v>213</v>
      </c>
      <c r="B71" s="17" t="s">
        <v>229</v>
      </c>
      <c r="C71" s="17">
        <v>7</v>
      </c>
      <c r="D71" s="17">
        <v>2024</v>
      </c>
      <c r="E71" s="18">
        <v>20.699274190000001</v>
      </c>
      <c r="F71" s="18">
        <v>28.87</v>
      </c>
      <c r="G71" s="18">
        <v>13.55</v>
      </c>
    </row>
    <row r="72" spans="1:7" x14ac:dyDescent="0.2">
      <c r="A72" s="17" t="s">
        <v>213</v>
      </c>
      <c r="B72" s="17" t="s">
        <v>229</v>
      </c>
      <c r="C72" s="17">
        <v>7</v>
      </c>
      <c r="D72" s="17">
        <v>2025</v>
      </c>
      <c r="E72" s="18">
        <v>19.893293010000001</v>
      </c>
      <c r="F72" s="18">
        <v>28.01</v>
      </c>
      <c r="G72" s="18">
        <v>12.18</v>
      </c>
    </row>
    <row r="73" spans="1:7" x14ac:dyDescent="0.2">
      <c r="A73" s="17" t="s">
        <v>213</v>
      </c>
      <c r="B73" s="17" t="s">
        <v>229</v>
      </c>
      <c r="C73" s="17">
        <v>8</v>
      </c>
      <c r="D73" s="17">
        <v>2024</v>
      </c>
      <c r="E73" s="18">
        <v>19.260403230000001</v>
      </c>
      <c r="F73" s="18">
        <v>27.37</v>
      </c>
      <c r="G73" s="18">
        <v>11.62</v>
      </c>
    </row>
    <row r="74" spans="1:7" x14ac:dyDescent="0.2">
      <c r="A74" s="17" t="s">
        <v>213</v>
      </c>
      <c r="B74" s="17" t="s">
        <v>229</v>
      </c>
      <c r="C74" s="17">
        <v>8</v>
      </c>
      <c r="D74" s="17">
        <v>2025</v>
      </c>
      <c r="E74" s="18">
        <v>19.804202449999998</v>
      </c>
      <c r="F74" s="18">
        <v>28.87</v>
      </c>
      <c r="G74" s="18">
        <v>13.38</v>
      </c>
    </row>
    <row r="75" spans="1:7" x14ac:dyDescent="0.2">
      <c r="A75" s="17" t="s">
        <v>213</v>
      </c>
      <c r="B75" s="17" t="s">
        <v>229</v>
      </c>
      <c r="C75" s="17">
        <v>9</v>
      </c>
      <c r="D75" s="17">
        <v>2024</v>
      </c>
      <c r="E75" s="18">
        <v>14.532888890000001</v>
      </c>
      <c r="F75" s="18">
        <v>21.79</v>
      </c>
      <c r="G75" s="18">
        <v>8.6199999999999992</v>
      </c>
    </row>
    <row r="76" spans="1:7" x14ac:dyDescent="0.2">
      <c r="A76" s="17" t="s">
        <v>213</v>
      </c>
      <c r="B76" s="17" t="s">
        <v>229</v>
      </c>
      <c r="C76" s="17">
        <v>10</v>
      </c>
      <c r="D76" s="17">
        <v>2024</v>
      </c>
      <c r="E76" s="18">
        <v>8.4886021510000003</v>
      </c>
      <c r="F76" s="18">
        <v>13.81</v>
      </c>
      <c r="G76" s="18">
        <v>3.77</v>
      </c>
    </row>
    <row r="77" spans="1:7" x14ac:dyDescent="0.2">
      <c r="A77" s="17" t="s">
        <v>213</v>
      </c>
      <c r="B77" s="17" t="s">
        <v>229</v>
      </c>
      <c r="C77" s="17">
        <v>11</v>
      </c>
      <c r="D77" s="17">
        <v>2024</v>
      </c>
      <c r="E77" s="18">
        <v>4.716019417</v>
      </c>
      <c r="F77" s="18">
        <v>7.76</v>
      </c>
      <c r="G77" s="18">
        <v>1.1100000000000001</v>
      </c>
    </row>
    <row r="78" spans="1:7" x14ac:dyDescent="0.2">
      <c r="A78" s="17" t="s">
        <v>213</v>
      </c>
      <c r="B78" s="17" t="s">
        <v>229</v>
      </c>
      <c r="C78" s="17">
        <v>12</v>
      </c>
      <c r="D78" s="17">
        <v>2024</v>
      </c>
      <c r="E78" s="18">
        <v>0.505873656</v>
      </c>
      <c r="F78" s="18">
        <v>3.34</v>
      </c>
      <c r="G78" s="18">
        <v>0.08</v>
      </c>
    </row>
    <row r="79" spans="1:7" x14ac:dyDescent="0.2">
      <c r="A79" s="17" t="s">
        <v>214</v>
      </c>
      <c r="B79" s="17" t="s">
        <v>230</v>
      </c>
      <c r="C79" s="17">
        <v>1</v>
      </c>
      <c r="D79" s="17">
        <v>2025</v>
      </c>
      <c r="E79" s="18">
        <v>1.24827957</v>
      </c>
      <c r="F79" s="18">
        <v>1.88</v>
      </c>
      <c r="G79" s="18">
        <v>0.47</v>
      </c>
    </row>
    <row r="80" spans="1:7" x14ac:dyDescent="0.2">
      <c r="A80" s="17" t="s">
        <v>214</v>
      </c>
      <c r="B80" s="17" t="s">
        <v>230</v>
      </c>
      <c r="C80" s="17">
        <v>2</v>
      </c>
      <c r="D80" s="17">
        <v>2025</v>
      </c>
      <c r="E80" s="18">
        <v>0.54476190499999999</v>
      </c>
      <c r="F80" s="18">
        <v>1.46</v>
      </c>
      <c r="G80" s="18">
        <v>0.08</v>
      </c>
    </row>
    <row r="81" spans="1:7" x14ac:dyDescent="0.2">
      <c r="A81" s="17" t="s">
        <v>214</v>
      </c>
      <c r="B81" s="17" t="s">
        <v>230</v>
      </c>
      <c r="C81" s="17">
        <v>3</v>
      </c>
      <c r="D81" s="17">
        <v>2025</v>
      </c>
      <c r="E81" s="18">
        <v>1.283728129</v>
      </c>
      <c r="F81" s="18">
        <v>2.4</v>
      </c>
      <c r="G81" s="18">
        <v>0.38</v>
      </c>
    </row>
    <row r="82" spans="1:7" x14ac:dyDescent="0.2">
      <c r="A82" s="17" t="s">
        <v>214</v>
      </c>
      <c r="B82" s="17" t="s">
        <v>230</v>
      </c>
      <c r="C82" s="17">
        <v>4</v>
      </c>
      <c r="D82" s="17">
        <v>2025</v>
      </c>
      <c r="E82" s="18">
        <v>2.1857222219999999</v>
      </c>
      <c r="F82" s="18">
        <v>4.37</v>
      </c>
      <c r="G82" s="18">
        <v>0.94</v>
      </c>
    </row>
    <row r="83" spans="1:7" x14ac:dyDescent="0.2">
      <c r="A83" s="17" t="s">
        <v>214</v>
      </c>
      <c r="B83" s="17" t="s">
        <v>230</v>
      </c>
      <c r="C83" s="17">
        <v>5</v>
      </c>
      <c r="D83" s="17">
        <v>2025</v>
      </c>
      <c r="E83" s="18">
        <v>7.1536559139999998</v>
      </c>
      <c r="F83" s="18">
        <v>16.34</v>
      </c>
      <c r="G83" s="18">
        <v>2.61</v>
      </c>
    </row>
    <row r="84" spans="1:7" x14ac:dyDescent="0.2">
      <c r="A84" s="17" t="s">
        <v>214</v>
      </c>
      <c r="B84" s="17" t="s">
        <v>230</v>
      </c>
      <c r="C84" s="17">
        <v>6</v>
      </c>
      <c r="D84" s="17">
        <v>2024</v>
      </c>
      <c r="E84" s="18">
        <v>17.977499999999999</v>
      </c>
      <c r="F84" s="18">
        <v>23.03</v>
      </c>
      <c r="G84" s="18">
        <v>16.47</v>
      </c>
    </row>
    <row r="85" spans="1:7" x14ac:dyDescent="0.2">
      <c r="A85" s="17" t="s">
        <v>214</v>
      </c>
      <c r="B85" s="17" t="s">
        <v>230</v>
      </c>
      <c r="C85" s="17">
        <v>6</v>
      </c>
      <c r="D85" s="17">
        <v>2025</v>
      </c>
      <c r="E85" s="18">
        <v>15.125638889999999</v>
      </c>
      <c r="F85" s="18">
        <v>22.22</v>
      </c>
      <c r="G85" s="18">
        <v>10.08</v>
      </c>
    </row>
    <row r="86" spans="1:7" x14ac:dyDescent="0.2">
      <c r="A86" s="17" t="s">
        <v>214</v>
      </c>
      <c r="B86" s="17" t="s">
        <v>230</v>
      </c>
      <c r="C86" s="17">
        <v>7</v>
      </c>
      <c r="D86" s="17">
        <v>2024</v>
      </c>
      <c r="E86" s="18">
        <v>21.134099460000002</v>
      </c>
      <c r="F86" s="18">
        <v>27.93</v>
      </c>
      <c r="G86" s="18">
        <v>16.690000000000001</v>
      </c>
    </row>
    <row r="87" spans="1:7" x14ac:dyDescent="0.2">
      <c r="A87" s="17" t="s">
        <v>214</v>
      </c>
      <c r="B87" s="17" t="s">
        <v>230</v>
      </c>
      <c r="C87" s="17">
        <v>7</v>
      </c>
      <c r="D87" s="17">
        <v>2025</v>
      </c>
      <c r="E87" s="18">
        <v>19.352903229999999</v>
      </c>
      <c r="F87" s="18">
        <v>27.93</v>
      </c>
      <c r="G87" s="18">
        <v>13.85</v>
      </c>
    </row>
    <row r="88" spans="1:7" x14ac:dyDescent="0.2">
      <c r="A88" s="17" t="s">
        <v>214</v>
      </c>
      <c r="B88" s="17" t="s">
        <v>230</v>
      </c>
      <c r="C88" s="17">
        <v>8</v>
      </c>
      <c r="D88" s="17">
        <v>2024</v>
      </c>
      <c r="E88" s="18">
        <v>19.911088710000001</v>
      </c>
      <c r="F88" s="18">
        <v>26.47</v>
      </c>
      <c r="G88" s="18">
        <v>13.3</v>
      </c>
    </row>
    <row r="89" spans="1:7" x14ac:dyDescent="0.2">
      <c r="A89" s="17" t="s">
        <v>214</v>
      </c>
      <c r="B89" s="17" t="s">
        <v>230</v>
      </c>
      <c r="C89" s="17">
        <v>8</v>
      </c>
      <c r="D89" s="17">
        <v>2025</v>
      </c>
      <c r="E89" s="18">
        <v>18.929717740000001</v>
      </c>
      <c r="F89" s="18">
        <v>27.2</v>
      </c>
      <c r="G89" s="18">
        <v>11.84</v>
      </c>
    </row>
    <row r="90" spans="1:7" x14ac:dyDescent="0.2">
      <c r="A90" s="17" t="s">
        <v>214</v>
      </c>
      <c r="B90" s="17" t="s">
        <v>230</v>
      </c>
      <c r="C90" s="17">
        <v>9</v>
      </c>
      <c r="D90" s="17">
        <v>2024</v>
      </c>
      <c r="E90" s="18">
        <v>15.338347219999999</v>
      </c>
      <c r="F90" s="18">
        <v>22.56</v>
      </c>
      <c r="G90" s="18">
        <v>10.81</v>
      </c>
    </row>
    <row r="91" spans="1:7" x14ac:dyDescent="0.2">
      <c r="A91" s="17" t="s">
        <v>214</v>
      </c>
      <c r="B91" s="17" t="s">
        <v>230</v>
      </c>
      <c r="C91" s="17">
        <v>9</v>
      </c>
      <c r="D91" s="17">
        <v>2025</v>
      </c>
      <c r="E91" s="18">
        <v>15.80179167</v>
      </c>
      <c r="F91" s="18">
        <v>23.08</v>
      </c>
      <c r="G91" s="18">
        <v>9.61</v>
      </c>
    </row>
    <row r="92" spans="1:7" x14ac:dyDescent="0.2">
      <c r="A92" s="17" t="s">
        <v>214</v>
      </c>
      <c r="B92" s="17" t="s">
        <v>230</v>
      </c>
      <c r="C92" s="17">
        <v>10</v>
      </c>
      <c r="D92" s="17">
        <v>2024</v>
      </c>
      <c r="E92" s="18">
        <v>9.9515053760000001</v>
      </c>
      <c r="F92" s="18">
        <v>15.36</v>
      </c>
      <c r="G92" s="18">
        <v>7.38</v>
      </c>
    </row>
    <row r="93" spans="1:7" x14ac:dyDescent="0.2">
      <c r="A93" s="17" t="s">
        <v>214</v>
      </c>
      <c r="B93" s="17" t="s">
        <v>230</v>
      </c>
      <c r="C93" s="17">
        <v>10</v>
      </c>
      <c r="D93" s="17">
        <v>2025</v>
      </c>
      <c r="E93" s="18">
        <v>11.33465</v>
      </c>
      <c r="F93" s="18">
        <v>16.73</v>
      </c>
      <c r="G93" s="18">
        <v>8.6199999999999992</v>
      </c>
    </row>
    <row r="94" spans="1:7" x14ac:dyDescent="0.2">
      <c r="A94" s="17" t="s">
        <v>214</v>
      </c>
      <c r="B94" s="17" t="s">
        <v>230</v>
      </c>
      <c r="C94" s="17">
        <v>11</v>
      </c>
      <c r="D94" s="17">
        <v>2024</v>
      </c>
      <c r="E94" s="18">
        <v>6.1217891819999997</v>
      </c>
      <c r="F94" s="18">
        <v>8.41</v>
      </c>
      <c r="G94" s="18">
        <v>3.86</v>
      </c>
    </row>
    <row r="95" spans="1:7" x14ac:dyDescent="0.2">
      <c r="A95" s="17" t="s">
        <v>214</v>
      </c>
      <c r="B95" s="17" t="s">
        <v>230</v>
      </c>
      <c r="C95" s="17">
        <v>12</v>
      </c>
      <c r="D95" s="17">
        <v>2024</v>
      </c>
      <c r="E95" s="18">
        <v>2.3882795699999999</v>
      </c>
      <c r="F95" s="18">
        <v>5.0199999999999996</v>
      </c>
      <c r="G95" s="18">
        <v>0.13</v>
      </c>
    </row>
    <row r="96" spans="1:7" x14ac:dyDescent="0.2">
      <c r="A96" s="17" t="s">
        <v>217</v>
      </c>
      <c r="B96" s="17" t="s">
        <v>231</v>
      </c>
      <c r="C96" s="17">
        <v>1</v>
      </c>
      <c r="D96" s="17">
        <v>2025</v>
      </c>
      <c r="E96" s="18">
        <v>0.18521505399999999</v>
      </c>
      <c r="F96" s="18">
        <v>0.3</v>
      </c>
      <c r="G96" s="18">
        <v>0.08</v>
      </c>
    </row>
    <row r="97" spans="1:7" x14ac:dyDescent="0.2">
      <c r="A97" s="17" t="s">
        <v>217</v>
      </c>
      <c r="B97" s="17" t="s">
        <v>231</v>
      </c>
      <c r="C97" s="17">
        <v>2</v>
      </c>
      <c r="D97" s="17">
        <v>2025</v>
      </c>
      <c r="E97" s="18">
        <v>0.14462797599999999</v>
      </c>
      <c r="F97" s="18">
        <v>0.25</v>
      </c>
      <c r="G97" s="18">
        <v>0.08</v>
      </c>
    </row>
    <row r="98" spans="1:7" x14ac:dyDescent="0.2">
      <c r="A98" s="17" t="s">
        <v>217</v>
      </c>
      <c r="B98" s="17" t="s">
        <v>231</v>
      </c>
      <c r="C98" s="17">
        <v>3</v>
      </c>
      <c r="D98" s="17">
        <v>2025</v>
      </c>
      <c r="E98" s="18">
        <v>0.449569314</v>
      </c>
      <c r="F98" s="18">
        <v>3.3</v>
      </c>
      <c r="G98" s="18">
        <v>0.08</v>
      </c>
    </row>
    <row r="99" spans="1:7" x14ac:dyDescent="0.2">
      <c r="A99" s="17" t="s">
        <v>217</v>
      </c>
      <c r="B99" s="17" t="s">
        <v>231</v>
      </c>
      <c r="C99" s="17">
        <v>4</v>
      </c>
      <c r="D99" s="17">
        <v>2025</v>
      </c>
      <c r="E99" s="18">
        <v>3.3132777779999998</v>
      </c>
      <c r="F99" s="18">
        <v>8.6199999999999992</v>
      </c>
      <c r="G99" s="18">
        <v>0.21</v>
      </c>
    </row>
    <row r="100" spans="1:7" x14ac:dyDescent="0.2">
      <c r="A100" s="17" t="s">
        <v>217</v>
      </c>
      <c r="B100" s="17" t="s">
        <v>231</v>
      </c>
      <c r="C100" s="17">
        <v>5</v>
      </c>
      <c r="D100" s="17">
        <v>2025</v>
      </c>
      <c r="E100" s="18">
        <v>10.96670699</v>
      </c>
      <c r="F100" s="18">
        <v>19.73</v>
      </c>
      <c r="G100" s="18">
        <v>3.56</v>
      </c>
    </row>
    <row r="101" spans="1:7" x14ac:dyDescent="0.2">
      <c r="A101" s="17" t="s">
        <v>217</v>
      </c>
      <c r="B101" s="17" t="s">
        <v>231</v>
      </c>
      <c r="C101" s="17">
        <v>6</v>
      </c>
      <c r="D101" s="17">
        <v>2024</v>
      </c>
      <c r="E101" s="18">
        <v>18.337135419999999</v>
      </c>
      <c r="F101" s="18">
        <v>26.51</v>
      </c>
      <c r="G101" s="18">
        <v>13.9</v>
      </c>
    </row>
    <row r="102" spans="1:7" x14ac:dyDescent="0.2">
      <c r="A102" s="17" t="s">
        <v>217</v>
      </c>
      <c r="B102" s="17" t="s">
        <v>231</v>
      </c>
      <c r="C102" s="17">
        <v>6</v>
      </c>
      <c r="D102" s="17">
        <v>2025</v>
      </c>
      <c r="E102" s="18">
        <v>16.929874999999999</v>
      </c>
      <c r="F102" s="18">
        <v>22.99</v>
      </c>
      <c r="G102" s="18">
        <v>11.19</v>
      </c>
    </row>
    <row r="103" spans="1:7" x14ac:dyDescent="0.2">
      <c r="A103" s="17" t="s">
        <v>217</v>
      </c>
      <c r="B103" s="17" t="s">
        <v>231</v>
      </c>
      <c r="C103" s="17">
        <v>7</v>
      </c>
      <c r="D103" s="17">
        <v>2024</v>
      </c>
      <c r="E103" s="18">
        <v>21.09134409</v>
      </c>
      <c r="F103" s="18">
        <v>28.61</v>
      </c>
      <c r="G103" s="18">
        <v>15.27</v>
      </c>
    </row>
    <row r="104" spans="1:7" x14ac:dyDescent="0.2">
      <c r="A104" s="17" t="s">
        <v>217</v>
      </c>
      <c r="B104" s="17" t="s">
        <v>231</v>
      </c>
      <c r="C104" s="17">
        <v>7</v>
      </c>
      <c r="D104" s="17">
        <v>2025</v>
      </c>
      <c r="E104" s="18">
        <v>20.476922040000002</v>
      </c>
      <c r="F104" s="18">
        <v>27.45</v>
      </c>
      <c r="G104" s="18">
        <v>13.81</v>
      </c>
    </row>
    <row r="105" spans="1:7" x14ac:dyDescent="0.2">
      <c r="A105" s="17" t="s">
        <v>217</v>
      </c>
      <c r="B105" s="17" t="s">
        <v>231</v>
      </c>
      <c r="C105" s="17">
        <v>8</v>
      </c>
      <c r="D105" s="17">
        <v>2024</v>
      </c>
      <c r="E105" s="18">
        <v>20.21831989</v>
      </c>
      <c r="F105" s="18">
        <v>27.11</v>
      </c>
      <c r="G105" s="18">
        <v>13.64</v>
      </c>
    </row>
    <row r="106" spans="1:7" x14ac:dyDescent="0.2">
      <c r="A106" s="17" t="s">
        <v>217</v>
      </c>
      <c r="B106" s="17" t="s">
        <v>231</v>
      </c>
      <c r="C106" s="17">
        <v>8</v>
      </c>
      <c r="D106" s="17">
        <v>2025</v>
      </c>
      <c r="E106" s="18">
        <v>20.245227880000002</v>
      </c>
      <c r="F106" s="18">
        <v>25.95</v>
      </c>
      <c r="G106" s="18">
        <v>14.2</v>
      </c>
    </row>
    <row r="107" spans="1:7" x14ac:dyDescent="0.2">
      <c r="A107" s="17" t="s">
        <v>217</v>
      </c>
      <c r="B107" s="17" t="s">
        <v>231</v>
      </c>
      <c r="C107" s="17">
        <v>9</v>
      </c>
      <c r="D107" s="17">
        <v>2024</v>
      </c>
      <c r="E107" s="18">
        <v>15.051138890000001</v>
      </c>
      <c r="F107" s="18">
        <v>21.62</v>
      </c>
      <c r="G107" s="18">
        <v>9.7799999999999994</v>
      </c>
    </row>
    <row r="108" spans="1:7" x14ac:dyDescent="0.2">
      <c r="A108" s="17" t="s">
        <v>217</v>
      </c>
      <c r="B108" s="17" t="s">
        <v>231</v>
      </c>
      <c r="C108" s="17">
        <v>10</v>
      </c>
      <c r="D108" s="17">
        <v>2024</v>
      </c>
      <c r="E108" s="18">
        <v>8.4097983870000004</v>
      </c>
      <c r="F108" s="18">
        <v>12.44</v>
      </c>
      <c r="G108" s="18">
        <v>3.13</v>
      </c>
    </row>
    <row r="109" spans="1:7" x14ac:dyDescent="0.2">
      <c r="A109" s="17" t="s">
        <v>217</v>
      </c>
      <c r="B109" s="17" t="s">
        <v>231</v>
      </c>
      <c r="C109" s="17">
        <v>11</v>
      </c>
      <c r="D109" s="17">
        <v>2024</v>
      </c>
      <c r="E109" s="18">
        <v>4.6290429959999999</v>
      </c>
      <c r="F109" s="18">
        <v>7.42</v>
      </c>
      <c r="G109" s="18">
        <v>1.5</v>
      </c>
    </row>
    <row r="110" spans="1:7" x14ac:dyDescent="0.2">
      <c r="A110" s="17" t="s">
        <v>217</v>
      </c>
      <c r="B110" s="17" t="s">
        <v>231</v>
      </c>
      <c r="C110" s="17">
        <v>12</v>
      </c>
      <c r="D110" s="17">
        <v>2024</v>
      </c>
      <c r="E110" s="18">
        <v>0.312486559</v>
      </c>
      <c r="F110" s="18">
        <v>1.97</v>
      </c>
      <c r="G110" s="18">
        <v>0.13</v>
      </c>
    </row>
    <row r="111" spans="1:7" x14ac:dyDescent="0.2">
      <c r="A111" s="17" t="s">
        <v>219</v>
      </c>
      <c r="B111" s="17" t="s">
        <v>232</v>
      </c>
      <c r="C111" s="17">
        <v>1</v>
      </c>
      <c r="D111" s="17">
        <v>2025</v>
      </c>
      <c r="E111" s="18">
        <v>1.026505376</v>
      </c>
      <c r="F111" s="18">
        <v>2.0099999999999998</v>
      </c>
      <c r="G111" s="18">
        <v>0.38</v>
      </c>
    </row>
    <row r="112" spans="1:7" x14ac:dyDescent="0.2">
      <c r="A112" s="17" t="s">
        <v>219</v>
      </c>
      <c r="B112" s="17" t="s">
        <v>232</v>
      </c>
      <c r="C112" s="17">
        <v>2</v>
      </c>
      <c r="D112" s="17">
        <v>2025</v>
      </c>
      <c r="E112" s="18">
        <v>0.85552083300000004</v>
      </c>
      <c r="F112" s="18">
        <v>2.87</v>
      </c>
      <c r="G112" s="18">
        <v>0.13</v>
      </c>
    </row>
    <row r="113" spans="1:7" x14ac:dyDescent="0.2">
      <c r="A113" s="17" t="s">
        <v>219</v>
      </c>
      <c r="B113" s="17" t="s">
        <v>232</v>
      </c>
      <c r="C113" s="17">
        <v>3</v>
      </c>
      <c r="D113" s="17">
        <v>2025</v>
      </c>
      <c r="E113" s="18">
        <v>2.6408479140000001</v>
      </c>
      <c r="F113" s="18">
        <v>4.63</v>
      </c>
      <c r="G113" s="18">
        <v>0.86</v>
      </c>
    </row>
    <row r="114" spans="1:7" x14ac:dyDescent="0.2">
      <c r="A114" s="17" t="s">
        <v>219</v>
      </c>
      <c r="B114" s="17" t="s">
        <v>232</v>
      </c>
      <c r="C114" s="17">
        <v>4</v>
      </c>
      <c r="D114" s="17">
        <v>2025</v>
      </c>
      <c r="E114" s="18">
        <v>4.5844166670000002</v>
      </c>
      <c r="F114" s="18">
        <v>8.5299999999999994</v>
      </c>
      <c r="G114" s="18">
        <v>3.17</v>
      </c>
    </row>
    <row r="115" spans="1:7" x14ac:dyDescent="0.2">
      <c r="A115" s="17" t="s">
        <v>219</v>
      </c>
      <c r="B115" s="17" t="s">
        <v>232</v>
      </c>
      <c r="C115" s="17">
        <v>5</v>
      </c>
      <c r="D115" s="17">
        <v>2025</v>
      </c>
      <c r="E115" s="18">
        <v>9.8047311829999995</v>
      </c>
      <c r="F115" s="18">
        <v>17.93</v>
      </c>
      <c r="G115" s="18">
        <v>5.36</v>
      </c>
    </row>
    <row r="116" spans="1:7" x14ac:dyDescent="0.2">
      <c r="A116" s="17" t="s">
        <v>219</v>
      </c>
      <c r="B116" s="17" t="s">
        <v>232</v>
      </c>
      <c r="C116" s="17">
        <v>6</v>
      </c>
      <c r="D116" s="17">
        <v>2024</v>
      </c>
      <c r="E116" s="18">
        <v>18.294482760000001</v>
      </c>
      <c r="F116" s="18">
        <v>22.82</v>
      </c>
      <c r="G116" s="18">
        <v>16.899999999999999</v>
      </c>
    </row>
    <row r="117" spans="1:7" x14ac:dyDescent="0.2">
      <c r="A117" s="17" t="s">
        <v>219</v>
      </c>
      <c r="B117" s="17" t="s">
        <v>232</v>
      </c>
      <c r="C117" s="17">
        <v>6</v>
      </c>
      <c r="D117" s="17">
        <v>2025</v>
      </c>
      <c r="E117" s="18">
        <v>16.395638890000001</v>
      </c>
      <c r="F117" s="18">
        <v>22.95</v>
      </c>
      <c r="G117" s="18">
        <v>11.92</v>
      </c>
    </row>
    <row r="118" spans="1:7" x14ac:dyDescent="0.2">
      <c r="A118" s="17" t="s">
        <v>219</v>
      </c>
      <c r="B118" s="17" t="s">
        <v>232</v>
      </c>
      <c r="C118" s="17">
        <v>7</v>
      </c>
      <c r="D118" s="17">
        <v>2024</v>
      </c>
      <c r="E118" s="18">
        <v>21.495551079999998</v>
      </c>
      <c r="F118" s="18">
        <v>27.11</v>
      </c>
      <c r="G118" s="18">
        <v>16.64</v>
      </c>
    </row>
    <row r="119" spans="1:7" x14ac:dyDescent="0.2">
      <c r="A119" s="17" t="s">
        <v>219</v>
      </c>
      <c r="B119" s="17" t="s">
        <v>232</v>
      </c>
      <c r="C119" s="17">
        <v>7</v>
      </c>
      <c r="D119" s="17">
        <v>2025</v>
      </c>
      <c r="E119" s="18">
        <v>19.863965050000001</v>
      </c>
      <c r="F119" s="18">
        <v>26.98</v>
      </c>
      <c r="G119" s="18">
        <v>14.5</v>
      </c>
    </row>
    <row r="120" spans="1:7" x14ac:dyDescent="0.2">
      <c r="A120" s="17" t="s">
        <v>219</v>
      </c>
      <c r="B120" s="17" t="s">
        <v>232</v>
      </c>
      <c r="C120" s="17">
        <v>8</v>
      </c>
      <c r="D120" s="17">
        <v>2024</v>
      </c>
      <c r="E120" s="18">
        <v>19.87311828</v>
      </c>
      <c r="F120" s="18">
        <v>27.02</v>
      </c>
      <c r="G120" s="18">
        <v>13.6</v>
      </c>
    </row>
    <row r="121" spans="1:7" x14ac:dyDescent="0.2">
      <c r="A121" s="17" t="s">
        <v>219</v>
      </c>
      <c r="B121" s="17" t="s">
        <v>232</v>
      </c>
      <c r="C121" s="17">
        <v>8</v>
      </c>
      <c r="D121" s="17">
        <v>2025</v>
      </c>
      <c r="E121" s="18">
        <v>18.572620969999999</v>
      </c>
      <c r="F121" s="18">
        <v>25.95</v>
      </c>
      <c r="G121" s="18">
        <v>12.57</v>
      </c>
    </row>
    <row r="122" spans="1:7" x14ac:dyDescent="0.2">
      <c r="A122" s="17" t="s">
        <v>219</v>
      </c>
      <c r="B122" s="17" t="s">
        <v>232</v>
      </c>
      <c r="C122" s="17">
        <v>9</v>
      </c>
      <c r="D122" s="17">
        <v>2024</v>
      </c>
      <c r="E122" s="18">
        <v>16.000250000000001</v>
      </c>
      <c r="F122" s="18">
        <v>22.31</v>
      </c>
      <c r="G122" s="18">
        <v>11.15</v>
      </c>
    </row>
    <row r="123" spans="1:7" x14ac:dyDescent="0.2">
      <c r="A123" s="17" t="s">
        <v>219</v>
      </c>
      <c r="B123" s="17" t="s">
        <v>232</v>
      </c>
      <c r="C123" s="17">
        <v>9</v>
      </c>
      <c r="D123" s="17">
        <v>2025</v>
      </c>
      <c r="E123" s="18">
        <v>17.315368169999999</v>
      </c>
      <c r="F123" s="18">
        <v>21.53</v>
      </c>
      <c r="G123" s="18">
        <v>14.28</v>
      </c>
    </row>
    <row r="124" spans="1:7" x14ac:dyDescent="0.2">
      <c r="A124" s="17" t="s">
        <v>219</v>
      </c>
      <c r="B124" s="17" t="s">
        <v>232</v>
      </c>
      <c r="C124" s="17">
        <v>10</v>
      </c>
      <c r="D124" s="17">
        <v>2024</v>
      </c>
      <c r="E124" s="18">
        <v>10.233615589999999</v>
      </c>
      <c r="F124" s="18">
        <v>14.63</v>
      </c>
      <c r="G124" s="18">
        <v>7.08</v>
      </c>
    </row>
    <row r="125" spans="1:7" x14ac:dyDescent="0.2">
      <c r="A125" s="17" t="s">
        <v>219</v>
      </c>
      <c r="B125" s="17" t="s">
        <v>232</v>
      </c>
      <c r="C125" s="17">
        <v>11</v>
      </c>
      <c r="D125" s="17">
        <v>2024</v>
      </c>
      <c r="E125" s="18">
        <v>5.3723300969999999</v>
      </c>
      <c r="F125" s="18">
        <v>7.76</v>
      </c>
      <c r="G125" s="18">
        <v>2.61</v>
      </c>
    </row>
    <row r="126" spans="1:7" x14ac:dyDescent="0.2">
      <c r="A126" s="17" t="s">
        <v>219</v>
      </c>
      <c r="B126" s="17" t="s">
        <v>232</v>
      </c>
      <c r="C126" s="17">
        <v>12</v>
      </c>
      <c r="D126" s="17">
        <v>2024</v>
      </c>
      <c r="E126" s="18">
        <v>1.316841398</v>
      </c>
      <c r="F126" s="18">
        <v>4.59</v>
      </c>
      <c r="G126" s="18">
        <v>0.17</v>
      </c>
    </row>
    <row r="127" spans="1:7" x14ac:dyDescent="0.2">
      <c r="A127" s="17" t="s">
        <v>220</v>
      </c>
      <c r="B127" s="17" t="s">
        <v>233</v>
      </c>
      <c r="C127" s="17">
        <v>1</v>
      </c>
      <c r="D127" s="17">
        <v>2025</v>
      </c>
      <c r="E127" s="18">
        <v>0.30540322600000003</v>
      </c>
      <c r="F127" s="18">
        <v>1.37</v>
      </c>
      <c r="G127" s="18">
        <v>0.17</v>
      </c>
    </row>
    <row r="128" spans="1:7" x14ac:dyDescent="0.2">
      <c r="A128" s="17" t="s">
        <v>220</v>
      </c>
      <c r="B128" s="17" t="s">
        <v>233</v>
      </c>
      <c r="C128" s="17">
        <v>2</v>
      </c>
      <c r="D128" s="17">
        <v>2025</v>
      </c>
      <c r="E128" s="18">
        <v>0.22308035700000001</v>
      </c>
      <c r="F128" s="18">
        <v>0.3</v>
      </c>
      <c r="G128" s="18">
        <v>0.17</v>
      </c>
    </row>
    <row r="129" spans="1:7" x14ac:dyDescent="0.2">
      <c r="A129" s="17" t="s">
        <v>220</v>
      </c>
      <c r="B129" s="17" t="s">
        <v>233</v>
      </c>
      <c r="C129" s="17">
        <v>3</v>
      </c>
      <c r="D129" s="17">
        <v>2025</v>
      </c>
      <c r="E129" s="18">
        <v>0.55339165499999998</v>
      </c>
      <c r="F129" s="18">
        <v>3.69</v>
      </c>
      <c r="G129" s="18">
        <v>0.13</v>
      </c>
    </row>
    <row r="130" spans="1:7" x14ac:dyDescent="0.2">
      <c r="A130" s="17" t="s">
        <v>220</v>
      </c>
      <c r="B130" s="17" t="s">
        <v>233</v>
      </c>
      <c r="C130" s="17">
        <v>4</v>
      </c>
      <c r="D130" s="17">
        <v>2025</v>
      </c>
      <c r="E130" s="18">
        <v>3.487625</v>
      </c>
      <c r="F130" s="18">
        <v>9.44</v>
      </c>
      <c r="G130" s="18">
        <v>0.17</v>
      </c>
    </row>
    <row r="131" spans="1:7" x14ac:dyDescent="0.2">
      <c r="A131" s="17" t="s">
        <v>220</v>
      </c>
      <c r="B131" s="17" t="s">
        <v>233</v>
      </c>
      <c r="C131" s="17">
        <v>5</v>
      </c>
      <c r="D131" s="17">
        <v>2025</v>
      </c>
      <c r="E131" s="18">
        <v>10.59849462</v>
      </c>
      <c r="F131" s="18">
        <v>21.1</v>
      </c>
      <c r="G131" s="18">
        <v>3.6</v>
      </c>
    </row>
    <row r="132" spans="1:7" x14ac:dyDescent="0.2">
      <c r="A132" s="17" t="s">
        <v>220</v>
      </c>
      <c r="B132" s="17" t="s">
        <v>233</v>
      </c>
      <c r="C132" s="17">
        <v>6</v>
      </c>
      <c r="D132" s="17">
        <v>2024</v>
      </c>
      <c r="E132" s="18">
        <v>18.22781818</v>
      </c>
      <c r="F132" s="18">
        <v>25.69</v>
      </c>
      <c r="G132" s="18">
        <v>13.68</v>
      </c>
    </row>
    <row r="133" spans="1:7" x14ac:dyDescent="0.2">
      <c r="A133" s="17" t="s">
        <v>220</v>
      </c>
      <c r="B133" s="17" t="s">
        <v>233</v>
      </c>
      <c r="C133" s="17">
        <v>6</v>
      </c>
      <c r="D133" s="17">
        <v>2025</v>
      </c>
      <c r="E133" s="18">
        <v>16.29231944</v>
      </c>
      <c r="F133" s="18">
        <v>23.85</v>
      </c>
      <c r="G133" s="18">
        <v>9.65</v>
      </c>
    </row>
    <row r="134" spans="1:7" x14ac:dyDescent="0.2">
      <c r="A134" s="17" t="s">
        <v>220</v>
      </c>
      <c r="B134" s="17" t="s">
        <v>233</v>
      </c>
      <c r="C134" s="17">
        <v>7</v>
      </c>
      <c r="D134" s="17">
        <v>2024</v>
      </c>
      <c r="E134" s="18">
        <v>20.323521509999999</v>
      </c>
      <c r="F134" s="18">
        <v>25.69</v>
      </c>
      <c r="G134" s="18">
        <v>13.55</v>
      </c>
    </row>
    <row r="135" spans="1:7" x14ac:dyDescent="0.2">
      <c r="A135" s="17" t="s">
        <v>220</v>
      </c>
      <c r="B135" s="17" t="s">
        <v>233</v>
      </c>
      <c r="C135" s="17">
        <v>7</v>
      </c>
      <c r="D135" s="17">
        <v>2025</v>
      </c>
      <c r="E135" s="18">
        <v>19.469126339999999</v>
      </c>
      <c r="F135" s="18">
        <v>27.07</v>
      </c>
      <c r="G135" s="18">
        <v>12.65</v>
      </c>
    </row>
    <row r="136" spans="1:7" x14ac:dyDescent="0.2">
      <c r="A136" s="17" t="s">
        <v>220</v>
      </c>
      <c r="B136" s="17" t="s">
        <v>233</v>
      </c>
      <c r="C136" s="17">
        <v>8</v>
      </c>
      <c r="D136" s="17">
        <v>2024</v>
      </c>
      <c r="E136" s="18">
        <v>18.705161289999999</v>
      </c>
      <c r="F136" s="18">
        <v>25.18</v>
      </c>
      <c r="G136" s="18">
        <v>12.14</v>
      </c>
    </row>
    <row r="137" spans="1:7" x14ac:dyDescent="0.2">
      <c r="A137" s="17" t="s">
        <v>220</v>
      </c>
      <c r="B137" s="17" t="s">
        <v>233</v>
      </c>
      <c r="C137" s="17">
        <v>8</v>
      </c>
      <c r="D137" s="17">
        <v>2025</v>
      </c>
      <c r="E137" s="18">
        <v>19.267029180000002</v>
      </c>
      <c r="F137" s="18">
        <v>27.32</v>
      </c>
      <c r="G137" s="18">
        <v>12.61</v>
      </c>
    </row>
    <row r="138" spans="1:7" x14ac:dyDescent="0.2">
      <c r="A138" s="17" t="s">
        <v>220</v>
      </c>
      <c r="B138" s="17" t="s">
        <v>233</v>
      </c>
      <c r="C138" s="17">
        <v>9</v>
      </c>
      <c r="D138" s="17">
        <v>2024</v>
      </c>
      <c r="E138" s="18">
        <v>14.42677778</v>
      </c>
      <c r="F138" s="18">
        <v>20.420000000000002</v>
      </c>
      <c r="G138" s="18">
        <v>8.9600000000000009</v>
      </c>
    </row>
    <row r="139" spans="1:7" x14ac:dyDescent="0.2">
      <c r="A139" s="17" t="s">
        <v>220</v>
      </c>
      <c r="B139" s="17" t="s">
        <v>233</v>
      </c>
      <c r="C139" s="17">
        <v>10</v>
      </c>
      <c r="D139" s="17">
        <v>2024</v>
      </c>
      <c r="E139" s="18">
        <v>8.2306720430000002</v>
      </c>
      <c r="F139" s="18">
        <v>12.22</v>
      </c>
      <c r="G139" s="18">
        <v>2.23</v>
      </c>
    </row>
    <row r="140" spans="1:7" x14ac:dyDescent="0.2">
      <c r="A140" s="17" t="s">
        <v>220</v>
      </c>
      <c r="B140" s="17" t="s">
        <v>233</v>
      </c>
      <c r="C140" s="17">
        <v>11</v>
      </c>
      <c r="D140" s="17">
        <v>2024</v>
      </c>
      <c r="E140" s="18">
        <v>4.8775034670000004</v>
      </c>
      <c r="F140" s="18">
        <v>8.06</v>
      </c>
      <c r="G140" s="18">
        <v>1.41</v>
      </c>
    </row>
    <row r="141" spans="1:7" x14ac:dyDescent="0.2">
      <c r="A141" s="17" t="s">
        <v>220</v>
      </c>
      <c r="B141" s="17" t="s">
        <v>233</v>
      </c>
      <c r="C141" s="17">
        <v>12</v>
      </c>
      <c r="D141" s="17">
        <v>2024</v>
      </c>
      <c r="E141" s="18">
        <v>0.436518817</v>
      </c>
      <c r="F141" s="18">
        <v>2.4</v>
      </c>
      <c r="G141" s="18">
        <v>0.13</v>
      </c>
    </row>
    <row r="142" spans="1:7" x14ac:dyDescent="0.2">
      <c r="A142" s="17" t="s">
        <v>223</v>
      </c>
      <c r="B142" s="17" t="s">
        <v>234</v>
      </c>
      <c r="C142" s="17">
        <v>1</v>
      </c>
      <c r="D142" s="17">
        <v>2025</v>
      </c>
      <c r="E142" s="18">
        <v>1.3094489250000001</v>
      </c>
      <c r="F142" s="18">
        <v>2.4</v>
      </c>
      <c r="G142" s="18">
        <v>0.51</v>
      </c>
    </row>
    <row r="143" spans="1:7" x14ac:dyDescent="0.2">
      <c r="A143" s="17" t="s">
        <v>223</v>
      </c>
      <c r="B143" s="17" t="s">
        <v>234</v>
      </c>
      <c r="C143" s="17">
        <v>2</v>
      </c>
      <c r="D143" s="17">
        <v>2025</v>
      </c>
      <c r="E143" s="18">
        <v>0.92430059499999995</v>
      </c>
      <c r="F143" s="18">
        <v>2.06</v>
      </c>
      <c r="G143" s="18">
        <v>0.51</v>
      </c>
    </row>
    <row r="144" spans="1:7" x14ac:dyDescent="0.2">
      <c r="A144" s="17" t="s">
        <v>223</v>
      </c>
      <c r="B144" s="17" t="s">
        <v>234</v>
      </c>
      <c r="C144" s="17">
        <v>3</v>
      </c>
      <c r="D144" s="17">
        <v>2025</v>
      </c>
      <c r="E144" s="18">
        <v>2.611103634</v>
      </c>
      <c r="F144" s="18">
        <v>5.45</v>
      </c>
      <c r="G144" s="18">
        <v>0.64</v>
      </c>
    </row>
    <row r="145" spans="1:7" x14ac:dyDescent="0.2">
      <c r="A145" s="17" t="s">
        <v>223</v>
      </c>
      <c r="B145" s="17" t="s">
        <v>234</v>
      </c>
      <c r="C145" s="17">
        <v>4</v>
      </c>
      <c r="D145" s="17">
        <v>2025</v>
      </c>
      <c r="E145" s="18">
        <v>4.4578749999999996</v>
      </c>
      <c r="F145" s="18">
        <v>8.66</v>
      </c>
      <c r="G145" s="18">
        <v>1.76</v>
      </c>
    </row>
    <row r="146" spans="1:7" x14ac:dyDescent="0.2">
      <c r="A146" s="17" t="s">
        <v>223</v>
      </c>
      <c r="B146" s="17" t="s">
        <v>234</v>
      </c>
      <c r="C146" s="17">
        <v>5</v>
      </c>
      <c r="D146" s="17">
        <v>2025</v>
      </c>
      <c r="E146" s="18">
        <v>10.903602149999999</v>
      </c>
      <c r="F146" s="18">
        <v>18.79</v>
      </c>
      <c r="G146" s="18">
        <v>5.27</v>
      </c>
    </row>
    <row r="147" spans="1:7" x14ac:dyDescent="0.2">
      <c r="A147" s="17" t="s">
        <v>223</v>
      </c>
      <c r="B147" s="17" t="s">
        <v>234</v>
      </c>
      <c r="C147" s="17">
        <v>6</v>
      </c>
      <c r="D147" s="17">
        <v>2024</v>
      </c>
      <c r="E147" s="18">
        <v>18.775396829999998</v>
      </c>
      <c r="F147" s="18">
        <v>24.97</v>
      </c>
      <c r="G147" s="18">
        <v>13.77</v>
      </c>
    </row>
    <row r="148" spans="1:7" x14ac:dyDescent="0.2">
      <c r="A148" s="17" t="s">
        <v>223</v>
      </c>
      <c r="B148" s="17" t="s">
        <v>234</v>
      </c>
      <c r="C148" s="17">
        <v>6</v>
      </c>
      <c r="D148" s="17">
        <v>2025</v>
      </c>
      <c r="E148" s="18">
        <v>17.05206944</v>
      </c>
      <c r="F148" s="18">
        <v>21.36</v>
      </c>
      <c r="G148" s="18">
        <v>12.44</v>
      </c>
    </row>
    <row r="149" spans="1:7" x14ac:dyDescent="0.2">
      <c r="A149" s="17" t="s">
        <v>223</v>
      </c>
      <c r="B149" s="17" t="s">
        <v>234</v>
      </c>
      <c r="C149" s="17">
        <v>7</v>
      </c>
      <c r="D149" s="17">
        <v>2024</v>
      </c>
      <c r="E149" s="18">
        <v>21.623750000000001</v>
      </c>
      <c r="F149" s="18">
        <v>25.18</v>
      </c>
      <c r="G149" s="18">
        <v>16</v>
      </c>
    </row>
    <row r="150" spans="1:7" x14ac:dyDescent="0.2">
      <c r="A150" s="17" t="s">
        <v>223</v>
      </c>
      <c r="B150" s="17" t="s">
        <v>234</v>
      </c>
      <c r="C150" s="17">
        <v>7</v>
      </c>
      <c r="D150" s="17">
        <v>2025</v>
      </c>
      <c r="E150" s="18">
        <v>20.32278226</v>
      </c>
      <c r="F150" s="18">
        <v>24.58</v>
      </c>
      <c r="G150" s="18">
        <v>15.4</v>
      </c>
    </row>
    <row r="151" spans="1:7" x14ac:dyDescent="0.2">
      <c r="A151" s="17" t="s">
        <v>223</v>
      </c>
      <c r="B151" s="17" t="s">
        <v>234</v>
      </c>
      <c r="C151" s="17">
        <v>8</v>
      </c>
      <c r="D151" s="17">
        <v>2024</v>
      </c>
      <c r="E151" s="18">
        <v>19.996344090000001</v>
      </c>
      <c r="F151" s="18">
        <v>23.76</v>
      </c>
      <c r="G151" s="18">
        <v>15.18</v>
      </c>
    </row>
    <row r="152" spans="1:7" x14ac:dyDescent="0.2">
      <c r="A152" s="17" t="s">
        <v>223</v>
      </c>
      <c r="B152" s="17" t="s">
        <v>234</v>
      </c>
      <c r="C152" s="17">
        <v>8</v>
      </c>
      <c r="D152" s="17">
        <v>2025</v>
      </c>
      <c r="E152" s="18">
        <v>20.278891689999998</v>
      </c>
      <c r="F152" s="18">
        <v>23.51</v>
      </c>
      <c r="G152" s="18">
        <v>17.07</v>
      </c>
    </row>
    <row r="153" spans="1:7" x14ac:dyDescent="0.2">
      <c r="A153" s="17" t="s">
        <v>223</v>
      </c>
      <c r="B153" s="17" t="s">
        <v>234</v>
      </c>
      <c r="C153" s="17">
        <v>9</v>
      </c>
      <c r="D153" s="17">
        <v>2024</v>
      </c>
      <c r="E153" s="18">
        <v>15.96055556</v>
      </c>
      <c r="F153" s="18">
        <v>19.600000000000001</v>
      </c>
      <c r="G153" s="18">
        <v>12.14</v>
      </c>
    </row>
    <row r="154" spans="1:7" x14ac:dyDescent="0.2">
      <c r="A154" s="17" t="s">
        <v>223</v>
      </c>
      <c r="B154" s="17" t="s">
        <v>234</v>
      </c>
      <c r="C154" s="17">
        <v>10</v>
      </c>
      <c r="D154" s="17">
        <v>2024</v>
      </c>
      <c r="E154" s="18">
        <v>9.3270161290000004</v>
      </c>
      <c r="F154" s="18">
        <v>13.81</v>
      </c>
      <c r="G154" s="18">
        <v>4.93</v>
      </c>
    </row>
    <row r="155" spans="1:7" x14ac:dyDescent="0.2">
      <c r="A155" s="17" t="s">
        <v>223</v>
      </c>
      <c r="B155" s="17" t="s">
        <v>234</v>
      </c>
      <c r="C155" s="17">
        <v>11</v>
      </c>
      <c r="D155" s="17">
        <v>2024</v>
      </c>
      <c r="E155" s="18">
        <v>5.0037447989999997</v>
      </c>
      <c r="F155" s="18">
        <v>7.55</v>
      </c>
      <c r="G155" s="18">
        <v>2.14</v>
      </c>
    </row>
    <row r="156" spans="1:7" x14ac:dyDescent="0.2">
      <c r="A156" s="17" t="s">
        <v>223</v>
      </c>
      <c r="B156" s="17" t="s">
        <v>234</v>
      </c>
      <c r="C156" s="17">
        <v>12</v>
      </c>
      <c r="D156" s="17">
        <v>2024</v>
      </c>
      <c r="E156" s="18">
        <v>1.777715054</v>
      </c>
      <c r="F156" s="18">
        <v>4.42</v>
      </c>
      <c r="G156" s="18">
        <v>0.77</v>
      </c>
    </row>
    <row r="157" spans="1:7" x14ac:dyDescent="0.2">
      <c r="A157" s="17" t="s">
        <v>225</v>
      </c>
      <c r="B157" s="17" t="s">
        <v>235</v>
      </c>
      <c r="C157" s="17">
        <v>1</v>
      </c>
      <c r="D157" s="17">
        <v>2025</v>
      </c>
      <c r="E157" s="18">
        <v>0.298064516</v>
      </c>
      <c r="F157" s="18">
        <v>1.41</v>
      </c>
      <c r="G157" s="18">
        <v>0.04</v>
      </c>
    </row>
    <row r="158" spans="1:7" x14ac:dyDescent="0.2">
      <c r="A158" s="17" t="s">
        <v>225</v>
      </c>
      <c r="B158" s="17" t="s">
        <v>235</v>
      </c>
      <c r="C158" s="17">
        <v>2</v>
      </c>
      <c r="D158" s="17">
        <v>2025</v>
      </c>
      <c r="E158" s="18">
        <v>0.13977678599999999</v>
      </c>
      <c r="F158" s="18">
        <v>0.25</v>
      </c>
      <c r="G158" s="18">
        <v>0.08</v>
      </c>
    </row>
    <row r="159" spans="1:7" x14ac:dyDescent="0.2">
      <c r="A159" s="17" t="s">
        <v>225</v>
      </c>
      <c r="B159" s="17" t="s">
        <v>235</v>
      </c>
      <c r="C159" s="17">
        <v>3</v>
      </c>
      <c r="D159" s="17">
        <v>2025</v>
      </c>
      <c r="E159" s="18">
        <v>0.60296096899999996</v>
      </c>
      <c r="F159" s="18">
        <v>4.5</v>
      </c>
      <c r="G159" s="18">
        <v>0.04</v>
      </c>
    </row>
    <row r="160" spans="1:7" x14ac:dyDescent="0.2">
      <c r="A160" s="17" t="s">
        <v>225</v>
      </c>
      <c r="B160" s="17" t="s">
        <v>235</v>
      </c>
      <c r="C160" s="17">
        <v>4</v>
      </c>
      <c r="D160" s="17">
        <v>2025</v>
      </c>
      <c r="E160" s="18">
        <v>2.745013889</v>
      </c>
      <c r="F160" s="18">
        <v>7.72</v>
      </c>
      <c r="G160" s="18">
        <v>0.08</v>
      </c>
    </row>
    <row r="161" spans="1:7" x14ac:dyDescent="0.2">
      <c r="A161" s="17" t="s">
        <v>225</v>
      </c>
      <c r="B161" s="17" t="s">
        <v>235</v>
      </c>
      <c r="C161" s="17">
        <v>5</v>
      </c>
      <c r="D161" s="17">
        <v>2025</v>
      </c>
      <c r="E161" s="18">
        <v>10.46071237</v>
      </c>
      <c r="F161" s="18">
        <v>19.3</v>
      </c>
      <c r="G161" s="18">
        <v>2.87</v>
      </c>
    </row>
    <row r="162" spans="1:7" x14ac:dyDescent="0.2">
      <c r="A162" s="17" t="s">
        <v>225</v>
      </c>
      <c r="B162" s="17" t="s">
        <v>235</v>
      </c>
      <c r="C162" s="17">
        <v>6</v>
      </c>
      <c r="D162" s="17">
        <v>2024</v>
      </c>
      <c r="E162" s="18">
        <v>19.27306548</v>
      </c>
      <c r="F162" s="18">
        <v>31.31</v>
      </c>
      <c r="G162" s="18">
        <v>15.48</v>
      </c>
    </row>
    <row r="163" spans="1:7" x14ac:dyDescent="0.2">
      <c r="A163" s="17" t="s">
        <v>225</v>
      </c>
      <c r="B163" s="17" t="s">
        <v>235</v>
      </c>
      <c r="C163" s="17">
        <v>6</v>
      </c>
      <c r="D163" s="17">
        <v>2025</v>
      </c>
      <c r="E163" s="18">
        <v>16.97138211</v>
      </c>
      <c r="F163" s="18">
        <v>22.82</v>
      </c>
      <c r="G163" s="18">
        <v>13</v>
      </c>
    </row>
    <row r="164" spans="1:7" x14ac:dyDescent="0.2">
      <c r="A164" s="17" t="s">
        <v>225</v>
      </c>
      <c r="B164" s="17" t="s">
        <v>235</v>
      </c>
      <c r="C164" s="17">
        <v>7</v>
      </c>
      <c r="D164" s="17">
        <v>2024</v>
      </c>
      <c r="E164" s="18">
        <v>21.638870969999999</v>
      </c>
      <c r="F164" s="18">
        <v>26.6</v>
      </c>
      <c r="G164" s="18">
        <v>15.7</v>
      </c>
    </row>
    <row r="165" spans="1:7" x14ac:dyDescent="0.2">
      <c r="A165" s="17" t="s">
        <v>225</v>
      </c>
      <c r="B165" s="17" t="s">
        <v>235</v>
      </c>
      <c r="C165" s="17">
        <v>8</v>
      </c>
      <c r="D165" s="17">
        <v>2024</v>
      </c>
      <c r="E165" s="18">
        <v>19.61696237</v>
      </c>
      <c r="F165" s="18">
        <v>24.97</v>
      </c>
      <c r="G165" s="18">
        <v>14.07</v>
      </c>
    </row>
    <row r="166" spans="1:7" x14ac:dyDescent="0.2">
      <c r="A166" s="17" t="s">
        <v>225</v>
      </c>
      <c r="B166" s="17" t="s">
        <v>235</v>
      </c>
      <c r="C166" s="17">
        <v>9</v>
      </c>
      <c r="D166" s="17">
        <v>2024</v>
      </c>
      <c r="E166" s="18">
        <v>14.97101389</v>
      </c>
      <c r="F166" s="18">
        <v>20.76</v>
      </c>
      <c r="G166" s="18">
        <v>10.34</v>
      </c>
    </row>
    <row r="167" spans="1:7" x14ac:dyDescent="0.2">
      <c r="A167" s="17" t="s">
        <v>225</v>
      </c>
      <c r="B167" s="17" t="s">
        <v>235</v>
      </c>
      <c r="C167" s="17">
        <v>10</v>
      </c>
      <c r="D167" s="17">
        <v>2024</v>
      </c>
      <c r="E167" s="18">
        <v>8.6579838710000008</v>
      </c>
      <c r="F167" s="18">
        <v>13</v>
      </c>
      <c r="G167" s="18">
        <v>3.39</v>
      </c>
    </row>
    <row r="168" spans="1:7" x14ac:dyDescent="0.2">
      <c r="A168" s="17" t="s">
        <v>225</v>
      </c>
      <c r="B168" s="17" t="s">
        <v>235</v>
      </c>
      <c r="C168" s="17">
        <v>11</v>
      </c>
      <c r="D168" s="17">
        <v>2024</v>
      </c>
      <c r="E168" s="18">
        <v>4.326144244</v>
      </c>
      <c r="F168" s="18">
        <v>7.16</v>
      </c>
      <c r="G168" s="18">
        <v>0.9</v>
      </c>
    </row>
    <row r="169" spans="1:7" x14ac:dyDescent="0.2">
      <c r="A169" s="17" t="s">
        <v>225</v>
      </c>
      <c r="B169" s="17" t="s">
        <v>235</v>
      </c>
      <c r="C169" s="17">
        <v>12</v>
      </c>
      <c r="D169" s="17">
        <v>2024</v>
      </c>
      <c r="E169" s="18">
        <v>0.471236559</v>
      </c>
      <c r="F169" s="18">
        <v>3.17</v>
      </c>
      <c r="G169" s="18">
        <v>0.08</v>
      </c>
    </row>
    <row r="170" spans="1:7" x14ac:dyDescent="0.2">
      <c r="A170" s="17" t="s">
        <v>207</v>
      </c>
      <c r="B170" s="17" t="s">
        <v>236</v>
      </c>
      <c r="C170" s="17">
        <v>1</v>
      </c>
      <c r="D170" s="17">
        <v>2025</v>
      </c>
      <c r="E170" s="18">
        <v>0.18366263399999999</v>
      </c>
      <c r="F170" s="18">
        <v>1.1120000000000001</v>
      </c>
      <c r="G170" s="18">
        <v>0.01</v>
      </c>
    </row>
    <row r="171" spans="1:7" x14ac:dyDescent="0.2">
      <c r="A171" s="17" t="s">
        <v>207</v>
      </c>
      <c r="B171" s="17" t="s">
        <v>236</v>
      </c>
      <c r="C171" s="17">
        <v>2</v>
      </c>
      <c r="D171" s="17">
        <v>2025</v>
      </c>
      <c r="E171" s="18">
        <v>6.1700893E-2</v>
      </c>
      <c r="F171" s="18">
        <v>0.23200000000000001</v>
      </c>
      <c r="G171" s="18">
        <v>0.01</v>
      </c>
    </row>
    <row r="172" spans="1:7" x14ac:dyDescent="0.2">
      <c r="A172" s="17" t="s">
        <v>207</v>
      </c>
      <c r="B172" s="17" t="s">
        <v>236</v>
      </c>
      <c r="C172" s="17">
        <v>3</v>
      </c>
      <c r="D172" s="17">
        <v>2025</v>
      </c>
      <c r="E172" s="18">
        <v>1.193728495</v>
      </c>
      <c r="F172" s="18">
        <v>4.8310000000000004</v>
      </c>
      <c r="G172" s="18">
        <v>0.01</v>
      </c>
    </row>
    <row r="173" spans="1:7" x14ac:dyDescent="0.2">
      <c r="A173" s="17" t="s">
        <v>207</v>
      </c>
      <c r="B173" s="17" t="s">
        <v>236</v>
      </c>
      <c r="C173" s="17">
        <v>4</v>
      </c>
      <c r="D173" s="17">
        <v>2025</v>
      </c>
      <c r="E173" s="18">
        <v>4.725376389</v>
      </c>
      <c r="F173" s="18">
        <v>11.138999999999999</v>
      </c>
      <c r="G173" s="18">
        <v>0.01</v>
      </c>
    </row>
    <row r="174" spans="1:7" x14ac:dyDescent="0.2">
      <c r="A174" s="17" t="s">
        <v>207</v>
      </c>
      <c r="B174" s="17" t="s">
        <v>236</v>
      </c>
      <c r="C174" s="17">
        <v>5</v>
      </c>
      <c r="D174" s="17">
        <v>2025</v>
      </c>
      <c r="E174" s="18">
        <v>11.4</v>
      </c>
      <c r="F174" s="18">
        <v>21.187000000000001</v>
      </c>
      <c r="G174" s="18">
        <v>4.6230000000000002</v>
      </c>
    </row>
    <row r="175" spans="1:7" x14ac:dyDescent="0.2">
      <c r="A175" s="17" t="s">
        <v>207</v>
      </c>
      <c r="B175" s="17" t="s">
        <v>236</v>
      </c>
      <c r="C175" s="17">
        <v>6</v>
      </c>
      <c r="D175" s="17">
        <v>2024</v>
      </c>
      <c r="E175" s="18">
        <v>18.96839516</v>
      </c>
      <c r="F175" s="18">
        <v>31.675999999999998</v>
      </c>
      <c r="G175" s="18">
        <v>15.090999999999999</v>
      </c>
    </row>
    <row r="176" spans="1:7" x14ac:dyDescent="0.2">
      <c r="A176" s="17" t="s">
        <v>207</v>
      </c>
      <c r="B176" s="17" t="s">
        <v>236</v>
      </c>
      <c r="C176" s="17">
        <v>6</v>
      </c>
      <c r="D176" s="17">
        <v>2025</v>
      </c>
      <c r="E176" s="18">
        <v>17.60465336</v>
      </c>
      <c r="F176" s="18">
        <v>29.652000000000001</v>
      </c>
      <c r="G176" s="18">
        <v>11.528</v>
      </c>
    </row>
    <row r="177" spans="1:7" x14ac:dyDescent="0.2">
      <c r="A177" s="17" t="s">
        <v>207</v>
      </c>
      <c r="B177" s="17" t="s">
        <v>236</v>
      </c>
      <c r="C177" s="17">
        <v>7</v>
      </c>
      <c r="D177" s="17">
        <v>2024</v>
      </c>
      <c r="E177" s="18">
        <v>22.166361559999999</v>
      </c>
      <c r="F177" s="18">
        <v>28.655000000000001</v>
      </c>
      <c r="G177" s="18">
        <v>14.9</v>
      </c>
    </row>
    <row r="178" spans="1:7" x14ac:dyDescent="0.2">
      <c r="A178" s="17" t="s">
        <v>207</v>
      </c>
      <c r="B178" s="17" t="s">
        <v>236</v>
      </c>
      <c r="C178" s="17">
        <v>8</v>
      </c>
      <c r="D178" s="17">
        <v>2024</v>
      </c>
      <c r="E178" s="18">
        <v>20.342952960000002</v>
      </c>
      <c r="F178" s="18">
        <v>27.960999999999999</v>
      </c>
      <c r="G178" s="18">
        <v>13.365</v>
      </c>
    </row>
    <row r="179" spans="1:7" x14ac:dyDescent="0.2">
      <c r="A179" s="17" t="s">
        <v>207</v>
      </c>
      <c r="B179" s="17" t="s">
        <v>236</v>
      </c>
      <c r="C179" s="17">
        <v>9</v>
      </c>
      <c r="D179" s="17">
        <v>2024</v>
      </c>
      <c r="E179" s="18">
        <v>15.853400000000001</v>
      </c>
      <c r="F179" s="18">
        <v>22.238</v>
      </c>
      <c r="G179" s="18">
        <v>10.747999999999999</v>
      </c>
    </row>
    <row r="180" spans="1:7" x14ac:dyDescent="0.2">
      <c r="A180" s="17" t="s">
        <v>207</v>
      </c>
      <c r="B180" s="17" t="s">
        <v>236</v>
      </c>
      <c r="C180" s="17">
        <v>10</v>
      </c>
      <c r="D180" s="17">
        <v>2024</v>
      </c>
      <c r="E180" s="18">
        <v>8.8161653229999999</v>
      </c>
      <c r="F180" s="18">
        <v>13.461</v>
      </c>
      <c r="G180" s="18">
        <v>3.1549999999999998</v>
      </c>
    </row>
    <row r="181" spans="1:7" x14ac:dyDescent="0.2">
      <c r="A181" s="17" t="s">
        <v>207</v>
      </c>
      <c r="B181" s="17" t="s">
        <v>236</v>
      </c>
      <c r="C181" s="17">
        <v>11</v>
      </c>
      <c r="D181" s="17">
        <v>2024</v>
      </c>
      <c r="E181" s="18">
        <v>5.0236569439999998</v>
      </c>
      <c r="F181" s="18">
        <v>8.9779999999999998</v>
      </c>
      <c r="G181" s="18">
        <v>1.0029999999999999</v>
      </c>
    </row>
    <row r="182" spans="1:7" x14ac:dyDescent="0.2">
      <c r="A182" s="17" t="s">
        <v>207</v>
      </c>
      <c r="B182" s="17" t="s">
        <v>236</v>
      </c>
      <c r="C182" s="17">
        <v>12</v>
      </c>
      <c r="D182" s="17">
        <v>2024</v>
      </c>
      <c r="E182" s="18">
        <v>0.43059946199999999</v>
      </c>
      <c r="F182" s="18">
        <v>2.41</v>
      </c>
      <c r="G182" s="18">
        <v>0.01</v>
      </c>
    </row>
    <row r="183" spans="1:7" x14ac:dyDescent="0.2">
      <c r="A183" s="17" t="s">
        <v>211</v>
      </c>
      <c r="B183" s="17" t="s">
        <v>237</v>
      </c>
      <c r="C183" s="17">
        <v>1</v>
      </c>
      <c r="D183" s="17">
        <v>2025</v>
      </c>
      <c r="E183" s="18">
        <v>4.4608871000000001E-2</v>
      </c>
      <c r="F183" s="18">
        <v>0.45300000000000001</v>
      </c>
      <c r="G183" s="18">
        <v>0.01</v>
      </c>
    </row>
    <row r="184" spans="1:7" x14ac:dyDescent="0.2">
      <c r="A184" s="17" t="s">
        <v>211</v>
      </c>
      <c r="B184" s="17" t="s">
        <v>237</v>
      </c>
      <c r="C184" s="17">
        <v>2</v>
      </c>
      <c r="D184" s="17">
        <v>2025</v>
      </c>
      <c r="E184" s="18">
        <v>0.01</v>
      </c>
      <c r="F184" s="18">
        <v>0.01</v>
      </c>
      <c r="G184" s="18">
        <v>0.01</v>
      </c>
    </row>
    <row r="185" spans="1:7" x14ac:dyDescent="0.2">
      <c r="A185" s="17" t="s">
        <v>211</v>
      </c>
      <c r="B185" s="17" t="s">
        <v>237</v>
      </c>
      <c r="C185" s="17">
        <v>3</v>
      </c>
      <c r="D185" s="17">
        <v>2025</v>
      </c>
      <c r="E185" s="18">
        <v>0.52901209699999996</v>
      </c>
      <c r="F185" s="18">
        <v>4.2069999999999999</v>
      </c>
      <c r="G185" s="18">
        <v>0.01</v>
      </c>
    </row>
    <row r="186" spans="1:7" x14ac:dyDescent="0.2">
      <c r="A186" s="17" t="s">
        <v>211</v>
      </c>
      <c r="B186" s="17" t="s">
        <v>237</v>
      </c>
      <c r="C186" s="17">
        <v>4</v>
      </c>
      <c r="D186" s="17">
        <v>2025</v>
      </c>
      <c r="E186" s="18">
        <v>3.6183208329999998</v>
      </c>
      <c r="F186" s="18">
        <v>9.1760000000000002</v>
      </c>
      <c r="G186" s="18">
        <v>0.01</v>
      </c>
    </row>
    <row r="187" spans="1:7" x14ac:dyDescent="0.2">
      <c r="A187" s="17" t="s">
        <v>211</v>
      </c>
      <c r="B187" s="17" t="s">
        <v>237</v>
      </c>
      <c r="C187" s="17">
        <v>5</v>
      </c>
      <c r="D187" s="17">
        <v>2025</v>
      </c>
      <c r="E187" s="18">
        <v>11.12527285</v>
      </c>
      <c r="F187" s="18">
        <v>21.282</v>
      </c>
      <c r="G187" s="18">
        <v>3.367</v>
      </c>
    </row>
    <row r="188" spans="1:7" x14ac:dyDescent="0.2">
      <c r="A188" s="17" t="s">
        <v>211</v>
      </c>
      <c r="B188" s="17" t="s">
        <v>237</v>
      </c>
      <c r="C188" s="17">
        <v>6</v>
      </c>
      <c r="D188" s="17">
        <v>2024</v>
      </c>
      <c r="E188" s="18">
        <v>18.440555140000001</v>
      </c>
      <c r="F188" s="18">
        <v>26.879000000000001</v>
      </c>
      <c r="G188" s="18">
        <v>12.98</v>
      </c>
    </row>
    <row r="189" spans="1:7" x14ac:dyDescent="0.2">
      <c r="A189" s="17" t="s">
        <v>211</v>
      </c>
      <c r="B189" s="17" t="s">
        <v>237</v>
      </c>
      <c r="C189" s="17">
        <v>6</v>
      </c>
      <c r="D189" s="17">
        <v>2025</v>
      </c>
      <c r="E189" s="18">
        <v>17.71098194</v>
      </c>
      <c r="F189" s="18">
        <v>26.195</v>
      </c>
      <c r="G189" s="18">
        <v>10.651</v>
      </c>
    </row>
    <row r="190" spans="1:7" x14ac:dyDescent="0.2">
      <c r="A190" s="17" t="s">
        <v>211</v>
      </c>
      <c r="B190" s="17" t="s">
        <v>237</v>
      </c>
      <c r="C190" s="17">
        <v>7</v>
      </c>
      <c r="D190" s="17">
        <v>2024</v>
      </c>
      <c r="E190" s="18">
        <v>22.564977150000001</v>
      </c>
      <c r="F190" s="18">
        <v>30.963000000000001</v>
      </c>
      <c r="G190" s="18">
        <v>15.664</v>
      </c>
    </row>
    <row r="191" spans="1:7" x14ac:dyDescent="0.2">
      <c r="A191" s="17" t="s">
        <v>211</v>
      </c>
      <c r="B191" s="17" t="s">
        <v>237</v>
      </c>
      <c r="C191" s="17">
        <v>7</v>
      </c>
      <c r="D191" s="17">
        <v>2025</v>
      </c>
      <c r="E191" s="18">
        <v>21.436229839999999</v>
      </c>
      <c r="F191" s="18">
        <v>30.963000000000001</v>
      </c>
      <c r="G191" s="18">
        <v>13.269</v>
      </c>
    </row>
    <row r="192" spans="1:7" x14ac:dyDescent="0.2">
      <c r="A192" s="17" t="s">
        <v>211</v>
      </c>
      <c r="B192" s="17" t="s">
        <v>237</v>
      </c>
      <c r="C192" s="17">
        <v>8</v>
      </c>
      <c r="D192" s="17">
        <v>2024</v>
      </c>
      <c r="E192" s="18">
        <v>20.5768871</v>
      </c>
      <c r="F192" s="18">
        <v>28.853000000000002</v>
      </c>
      <c r="G192" s="18">
        <v>12.593999999999999</v>
      </c>
    </row>
    <row r="193" spans="1:7" x14ac:dyDescent="0.2">
      <c r="A193" s="17" t="s">
        <v>211</v>
      </c>
      <c r="B193" s="17" t="s">
        <v>237</v>
      </c>
      <c r="C193" s="17">
        <v>8</v>
      </c>
      <c r="D193" s="17">
        <v>2025</v>
      </c>
      <c r="E193" s="18">
        <v>20.2507381</v>
      </c>
      <c r="F193" s="18">
        <v>28.158999999999999</v>
      </c>
      <c r="G193" s="18">
        <v>13.558</v>
      </c>
    </row>
    <row r="194" spans="1:7" x14ac:dyDescent="0.2">
      <c r="A194" s="17" t="s">
        <v>211</v>
      </c>
      <c r="B194" s="17" t="s">
        <v>237</v>
      </c>
      <c r="C194" s="17">
        <v>9</v>
      </c>
      <c r="D194" s="17">
        <v>2024</v>
      </c>
      <c r="E194" s="18">
        <v>15.6915</v>
      </c>
      <c r="F194" s="18">
        <v>24.835000000000001</v>
      </c>
      <c r="G194" s="18">
        <v>8.7789999999999999</v>
      </c>
    </row>
    <row r="195" spans="1:7" x14ac:dyDescent="0.2">
      <c r="A195" s="17" t="s">
        <v>211</v>
      </c>
      <c r="B195" s="17" t="s">
        <v>237</v>
      </c>
      <c r="C195" s="17">
        <v>10</v>
      </c>
      <c r="D195" s="17">
        <v>2024</v>
      </c>
      <c r="E195" s="18">
        <v>8.3061102150000004</v>
      </c>
      <c r="F195" s="18">
        <v>14.709</v>
      </c>
      <c r="G195" s="18">
        <v>2.41</v>
      </c>
    </row>
    <row r="196" spans="1:7" x14ac:dyDescent="0.2">
      <c r="A196" s="17" t="s">
        <v>211</v>
      </c>
      <c r="B196" s="17" t="s">
        <v>237</v>
      </c>
      <c r="C196" s="17">
        <v>11</v>
      </c>
      <c r="D196" s="17">
        <v>2024</v>
      </c>
      <c r="E196" s="18">
        <v>4.4059569439999997</v>
      </c>
      <c r="F196" s="18">
        <v>7.5819999999999999</v>
      </c>
      <c r="G196" s="18">
        <v>0.78400000000000003</v>
      </c>
    </row>
    <row r="197" spans="1:7" x14ac:dyDescent="0.2">
      <c r="A197" s="17" t="s">
        <v>211</v>
      </c>
      <c r="B197" s="17" t="s">
        <v>237</v>
      </c>
      <c r="C197" s="17">
        <v>12</v>
      </c>
      <c r="D197" s="17">
        <v>2024</v>
      </c>
      <c r="E197" s="18">
        <v>0.163489247</v>
      </c>
      <c r="F197" s="18">
        <v>1.8720000000000001</v>
      </c>
      <c r="G197" s="18">
        <v>0.01</v>
      </c>
    </row>
    <row r="198" spans="1:7" x14ac:dyDescent="0.2">
      <c r="A198" s="17" t="s">
        <v>216</v>
      </c>
      <c r="B198" s="17" t="s">
        <v>238</v>
      </c>
      <c r="C198" s="17">
        <v>1</v>
      </c>
      <c r="D198" s="17">
        <v>2025</v>
      </c>
      <c r="E198" s="18">
        <v>0.57690725799999998</v>
      </c>
      <c r="F198" s="18">
        <v>2.3029999999999999</v>
      </c>
      <c r="G198" s="18">
        <v>-0.10199999999999999</v>
      </c>
    </row>
    <row r="199" spans="1:7" x14ac:dyDescent="0.2">
      <c r="A199" s="17" t="s">
        <v>216</v>
      </c>
      <c r="B199" s="17" t="s">
        <v>238</v>
      </c>
      <c r="C199" s="17">
        <v>2</v>
      </c>
      <c r="D199" s="17">
        <v>2025</v>
      </c>
      <c r="E199" s="18">
        <v>1.0825893E-2</v>
      </c>
      <c r="F199" s="18">
        <v>0.121</v>
      </c>
      <c r="G199" s="18">
        <v>0.01</v>
      </c>
    </row>
    <row r="200" spans="1:7" x14ac:dyDescent="0.2">
      <c r="A200" s="17" t="s">
        <v>216</v>
      </c>
      <c r="B200" s="17" t="s">
        <v>238</v>
      </c>
      <c r="C200" s="17">
        <v>3</v>
      </c>
      <c r="D200" s="17">
        <v>2025</v>
      </c>
      <c r="E200" s="18">
        <v>2.3671827959999998</v>
      </c>
      <c r="F200" s="18">
        <v>5.5519999999999996</v>
      </c>
      <c r="G200" s="18">
        <v>0.01</v>
      </c>
    </row>
    <row r="201" spans="1:7" x14ac:dyDescent="0.2">
      <c r="A201" s="17" t="s">
        <v>216</v>
      </c>
      <c r="B201" s="17" t="s">
        <v>238</v>
      </c>
      <c r="C201" s="17">
        <v>4</v>
      </c>
      <c r="D201" s="17">
        <v>2025</v>
      </c>
      <c r="E201" s="18">
        <v>4.2413111109999999</v>
      </c>
      <c r="F201" s="18">
        <v>9.077</v>
      </c>
      <c r="G201" s="18">
        <v>1.0029999999999999</v>
      </c>
    </row>
    <row r="202" spans="1:7" x14ac:dyDescent="0.2">
      <c r="A202" s="17" t="s">
        <v>216</v>
      </c>
      <c r="B202" s="17" t="s">
        <v>238</v>
      </c>
      <c r="C202" s="17">
        <v>5</v>
      </c>
      <c r="D202" s="17">
        <v>2025</v>
      </c>
      <c r="E202" s="18">
        <v>10.329998659999999</v>
      </c>
      <c r="F202" s="18">
        <v>18.616</v>
      </c>
      <c r="G202" s="18">
        <v>4.5190000000000001</v>
      </c>
    </row>
    <row r="203" spans="1:7" x14ac:dyDescent="0.2">
      <c r="A203" s="17" t="s">
        <v>216</v>
      </c>
      <c r="B203" s="17" t="s">
        <v>238</v>
      </c>
      <c r="C203" s="17">
        <v>6</v>
      </c>
      <c r="D203" s="17">
        <v>2024</v>
      </c>
      <c r="E203" s="18">
        <v>19.329323460000001</v>
      </c>
      <c r="F203" s="18">
        <v>36.945999999999998</v>
      </c>
      <c r="G203" s="18">
        <v>15.378</v>
      </c>
    </row>
    <row r="204" spans="1:7" x14ac:dyDescent="0.2">
      <c r="A204" s="17" t="s">
        <v>216</v>
      </c>
      <c r="B204" s="17" t="s">
        <v>238</v>
      </c>
      <c r="C204" s="17">
        <v>6</v>
      </c>
      <c r="D204" s="17">
        <v>2025</v>
      </c>
      <c r="E204" s="18">
        <v>17.088554030000001</v>
      </c>
      <c r="F204" s="18">
        <v>22.620999999999999</v>
      </c>
      <c r="G204" s="18">
        <v>9.8659999999999997</v>
      </c>
    </row>
    <row r="205" spans="1:7" x14ac:dyDescent="0.2">
      <c r="A205" s="17" t="s">
        <v>216</v>
      </c>
      <c r="B205" s="17" t="s">
        <v>238</v>
      </c>
      <c r="C205" s="17">
        <v>7</v>
      </c>
      <c r="D205" s="17">
        <v>2024</v>
      </c>
      <c r="E205" s="18">
        <v>22.3995</v>
      </c>
      <c r="F205" s="18">
        <v>31.574000000000002</v>
      </c>
      <c r="G205" s="18">
        <v>15.855</v>
      </c>
    </row>
    <row r="206" spans="1:7" x14ac:dyDescent="0.2">
      <c r="A206" s="17" t="s">
        <v>216</v>
      </c>
      <c r="B206" s="17" t="s">
        <v>238</v>
      </c>
      <c r="C206" s="17">
        <v>8</v>
      </c>
      <c r="D206" s="17">
        <v>2024</v>
      </c>
      <c r="E206" s="18">
        <v>20.776495969999999</v>
      </c>
      <c r="F206" s="18">
        <v>28.952999999999999</v>
      </c>
      <c r="G206" s="18">
        <v>13.75</v>
      </c>
    </row>
    <row r="207" spans="1:7" x14ac:dyDescent="0.2">
      <c r="A207" s="17" t="s">
        <v>216</v>
      </c>
      <c r="B207" s="17" t="s">
        <v>238</v>
      </c>
      <c r="C207" s="17">
        <v>9</v>
      </c>
      <c r="D207" s="17">
        <v>2024</v>
      </c>
      <c r="E207" s="18">
        <v>16.034515280000001</v>
      </c>
      <c r="F207" s="18">
        <v>24.931000000000001</v>
      </c>
      <c r="G207" s="18">
        <v>9.9649999999999999</v>
      </c>
    </row>
    <row r="208" spans="1:7" x14ac:dyDescent="0.2">
      <c r="A208" s="17" t="s">
        <v>216</v>
      </c>
      <c r="B208" s="17" t="s">
        <v>238</v>
      </c>
      <c r="C208" s="17">
        <v>10</v>
      </c>
      <c r="D208" s="17">
        <v>2024</v>
      </c>
      <c r="E208" s="18">
        <v>8.9933360219999994</v>
      </c>
      <c r="F208" s="18">
        <v>14.9</v>
      </c>
      <c r="G208" s="18">
        <v>4.7270000000000003</v>
      </c>
    </row>
    <row r="209" spans="1:7" x14ac:dyDescent="0.2">
      <c r="A209" s="17" t="s">
        <v>216</v>
      </c>
      <c r="B209" s="17" t="s">
        <v>238</v>
      </c>
      <c r="C209" s="17">
        <v>11</v>
      </c>
      <c r="D209" s="17">
        <v>2024</v>
      </c>
      <c r="E209" s="18">
        <v>4.5453625000000004</v>
      </c>
      <c r="F209" s="18">
        <v>6.6740000000000004</v>
      </c>
      <c r="G209" s="18">
        <v>2.0880000000000001</v>
      </c>
    </row>
    <row r="210" spans="1:7" x14ac:dyDescent="0.2">
      <c r="A210" s="17" t="s">
        <v>216</v>
      </c>
      <c r="B210" s="17" t="s">
        <v>238</v>
      </c>
      <c r="C210" s="17">
        <v>12</v>
      </c>
      <c r="D210" s="17">
        <v>2024</v>
      </c>
      <c r="E210" s="18">
        <v>0.57221505399999995</v>
      </c>
      <c r="F210" s="18">
        <v>3.1549999999999998</v>
      </c>
      <c r="G210" s="18">
        <v>-0.10199999999999999</v>
      </c>
    </row>
    <row r="211" spans="1:7" x14ac:dyDescent="0.2">
      <c r="A211" s="17" t="s">
        <v>221</v>
      </c>
      <c r="B211" s="17" t="s">
        <v>239</v>
      </c>
      <c r="C211" s="17">
        <v>1</v>
      </c>
      <c r="D211" s="17">
        <v>2025</v>
      </c>
      <c r="E211" s="18">
        <v>8.5771504999999998E-2</v>
      </c>
      <c r="F211" s="18">
        <v>0.45300000000000001</v>
      </c>
      <c r="G211" s="18">
        <v>0.01</v>
      </c>
    </row>
    <row r="212" spans="1:7" x14ac:dyDescent="0.2">
      <c r="A212" s="17" t="s">
        <v>221</v>
      </c>
      <c r="B212" s="17" t="s">
        <v>239</v>
      </c>
      <c r="C212" s="17">
        <v>2</v>
      </c>
      <c r="D212" s="17">
        <v>2025</v>
      </c>
      <c r="E212" s="18">
        <v>1.6276786000000001E-2</v>
      </c>
      <c r="F212" s="18">
        <v>0.121</v>
      </c>
      <c r="G212" s="18">
        <v>0.01</v>
      </c>
    </row>
    <row r="213" spans="1:7" x14ac:dyDescent="0.2">
      <c r="A213" s="17" t="s">
        <v>221</v>
      </c>
      <c r="B213" s="17" t="s">
        <v>239</v>
      </c>
      <c r="C213" s="17">
        <v>3</v>
      </c>
      <c r="D213" s="17">
        <v>2025</v>
      </c>
      <c r="E213" s="18">
        <v>0.46207795699999998</v>
      </c>
      <c r="F213" s="18">
        <v>2.41</v>
      </c>
      <c r="G213" s="18">
        <v>0.01</v>
      </c>
    </row>
    <row r="214" spans="1:7" x14ac:dyDescent="0.2">
      <c r="A214" s="17" t="s">
        <v>221</v>
      </c>
      <c r="B214" s="17" t="s">
        <v>239</v>
      </c>
      <c r="C214" s="17">
        <v>4</v>
      </c>
      <c r="D214" s="17">
        <v>2025</v>
      </c>
      <c r="E214" s="18">
        <v>3.7887374999999999</v>
      </c>
      <c r="F214" s="18">
        <v>8.3819999999999997</v>
      </c>
      <c r="G214" s="18">
        <v>0.01</v>
      </c>
    </row>
    <row r="215" spans="1:7" x14ac:dyDescent="0.2">
      <c r="A215" s="17" t="s">
        <v>221</v>
      </c>
      <c r="B215" s="17" t="s">
        <v>239</v>
      </c>
      <c r="C215" s="17">
        <v>5</v>
      </c>
      <c r="D215" s="17">
        <v>2025</v>
      </c>
      <c r="E215" s="18">
        <v>11.40416263</v>
      </c>
      <c r="F215" s="18">
        <v>21.472999999999999</v>
      </c>
      <c r="G215" s="18">
        <v>3.5779999999999998</v>
      </c>
    </row>
    <row r="216" spans="1:7" x14ac:dyDescent="0.2">
      <c r="A216" s="17" t="s">
        <v>221</v>
      </c>
      <c r="B216" s="17" t="s">
        <v>239</v>
      </c>
      <c r="C216" s="17">
        <v>6</v>
      </c>
      <c r="D216" s="17">
        <v>2024</v>
      </c>
      <c r="E216" s="18">
        <v>18.631081630000001</v>
      </c>
      <c r="F216" s="18">
        <v>26.195</v>
      </c>
      <c r="G216" s="18">
        <v>13.654</v>
      </c>
    </row>
    <row r="217" spans="1:7" x14ac:dyDescent="0.2">
      <c r="A217" s="17" t="s">
        <v>221</v>
      </c>
      <c r="B217" s="17" t="s">
        <v>239</v>
      </c>
      <c r="C217" s="17">
        <v>6</v>
      </c>
      <c r="D217" s="17">
        <v>2025</v>
      </c>
      <c r="E217" s="18">
        <v>17.45531944</v>
      </c>
      <c r="F217" s="18">
        <v>24.640999999999998</v>
      </c>
      <c r="G217" s="18">
        <v>11.722</v>
      </c>
    </row>
    <row r="218" spans="1:7" x14ac:dyDescent="0.2">
      <c r="A218" s="17" t="s">
        <v>221</v>
      </c>
      <c r="B218" s="17" t="s">
        <v>239</v>
      </c>
      <c r="C218" s="17">
        <v>7</v>
      </c>
      <c r="D218" s="17">
        <v>2024</v>
      </c>
      <c r="E218" s="18">
        <v>21.97057392</v>
      </c>
      <c r="F218" s="18">
        <v>28.952999999999999</v>
      </c>
      <c r="G218" s="18">
        <v>15.951000000000001</v>
      </c>
    </row>
    <row r="219" spans="1:7" x14ac:dyDescent="0.2">
      <c r="A219" s="17" t="s">
        <v>221</v>
      </c>
      <c r="B219" s="17" t="s">
        <v>239</v>
      </c>
      <c r="C219" s="17">
        <v>7</v>
      </c>
      <c r="D219" s="17">
        <v>2025</v>
      </c>
      <c r="E219" s="18">
        <v>20.747569890000001</v>
      </c>
      <c r="F219" s="18">
        <v>28.356999999999999</v>
      </c>
      <c r="G219" s="18">
        <v>12.593999999999999</v>
      </c>
    </row>
    <row r="220" spans="1:7" x14ac:dyDescent="0.2">
      <c r="A220" s="17" t="s">
        <v>221</v>
      </c>
      <c r="B220" s="17" t="s">
        <v>239</v>
      </c>
      <c r="C220" s="17">
        <v>8</v>
      </c>
      <c r="D220" s="17">
        <v>2024</v>
      </c>
      <c r="E220" s="18">
        <v>20.172822579999998</v>
      </c>
      <c r="F220" s="18">
        <v>27.664999999999999</v>
      </c>
      <c r="G220" s="18">
        <v>13.269</v>
      </c>
    </row>
    <row r="221" spans="1:7" x14ac:dyDescent="0.2">
      <c r="A221" s="17" t="s">
        <v>221</v>
      </c>
      <c r="B221" s="17" t="s">
        <v>239</v>
      </c>
      <c r="C221" s="17">
        <v>8</v>
      </c>
      <c r="D221" s="17">
        <v>2025</v>
      </c>
      <c r="E221" s="18">
        <v>21.007432340000001</v>
      </c>
      <c r="F221" s="18">
        <v>28.456</v>
      </c>
      <c r="G221" s="18">
        <v>15.282</v>
      </c>
    </row>
    <row r="222" spans="1:7" x14ac:dyDescent="0.2">
      <c r="A222" s="17" t="s">
        <v>221</v>
      </c>
      <c r="B222" s="17" t="s">
        <v>239</v>
      </c>
      <c r="C222" s="17">
        <v>9</v>
      </c>
      <c r="D222" s="17">
        <v>2024</v>
      </c>
      <c r="E222" s="18">
        <v>15.625075000000001</v>
      </c>
      <c r="F222" s="18">
        <v>23.196000000000002</v>
      </c>
      <c r="G222" s="18">
        <v>10.651</v>
      </c>
    </row>
    <row r="223" spans="1:7" x14ac:dyDescent="0.2">
      <c r="A223" s="17" t="s">
        <v>221</v>
      </c>
      <c r="B223" s="17" t="s">
        <v>239</v>
      </c>
      <c r="C223" s="17">
        <v>10</v>
      </c>
      <c r="D223" s="17">
        <v>2024</v>
      </c>
      <c r="E223" s="18">
        <v>8.4961088710000006</v>
      </c>
      <c r="F223" s="18">
        <v>13.846</v>
      </c>
      <c r="G223" s="18">
        <v>2.73</v>
      </c>
    </row>
    <row r="224" spans="1:7" x14ac:dyDescent="0.2">
      <c r="A224" s="17" t="s">
        <v>221</v>
      </c>
      <c r="B224" s="17" t="s">
        <v>239</v>
      </c>
      <c r="C224" s="17">
        <v>11</v>
      </c>
      <c r="D224" s="17">
        <v>2024</v>
      </c>
      <c r="E224" s="18">
        <v>4.3224666669999996</v>
      </c>
      <c r="F224" s="18">
        <v>7.28</v>
      </c>
      <c r="G224" s="18">
        <v>1.1120000000000001</v>
      </c>
    </row>
    <row r="225" spans="1:7" x14ac:dyDescent="0.2">
      <c r="A225" s="17" t="s">
        <v>221</v>
      </c>
      <c r="B225" s="17" t="s">
        <v>239</v>
      </c>
      <c r="C225" s="17">
        <v>12</v>
      </c>
      <c r="D225" s="17">
        <v>2024</v>
      </c>
      <c r="E225" s="18">
        <v>0.21162231200000001</v>
      </c>
      <c r="F225" s="18">
        <v>1.764</v>
      </c>
      <c r="G225" s="18">
        <v>0.01</v>
      </c>
    </row>
    <row r="226" spans="1:7" x14ac:dyDescent="0.2">
      <c r="A226" s="17" t="s">
        <v>222</v>
      </c>
      <c r="B226" s="17" t="s">
        <v>240</v>
      </c>
      <c r="C226" s="17">
        <v>1</v>
      </c>
      <c r="D226" s="17">
        <v>2025</v>
      </c>
      <c r="E226" s="18">
        <v>0.27688709700000003</v>
      </c>
      <c r="F226" s="18">
        <v>2.41</v>
      </c>
      <c r="G226" s="18">
        <v>-0.10199999999999999</v>
      </c>
    </row>
    <row r="227" spans="1:7" x14ac:dyDescent="0.2">
      <c r="A227" s="17" t="s">
        <v>222</v>
      </c>
      <c r="B227" s="17" t="s">
        <v>240</v>
      </c>
      <c r="C227" s="17">
        <v>2</v>
      </c>
      <c r="D227" s="17">
        <v>2025</v>
      </c>
      <c r="E227" s="18">
        <v>1.1816963999999999E-2</v>
      </c>
      <c r="F227" s="18">
        <v>0.121</v>
      </c>
      <c r="G227" s="18">
        <v>0.01</v>
      </c>
    </row>
    <row r="228" spans="1:7" x14ac:dyDescent="0.2">
      <c r="A228" s="17" t="s">
        <v>222</v>
      </c>
      <c r="B228" s="17" t="s">
        <v>240</v>
      </c>
      <c r="C228" s="17">
        <v>3</v>
      </c>
      <c r="D228" s="17">
        <v>2025</v>
      </c>
      <c r="E228" s="18">
        <v>1.2350255379999999</v>
      </c>
      <c r="F228" s="18">
        <v>5.5519999999999996</v>
      </c>
      <c r="G228" s="18">
        <v>-0.10199999999999999</v>
      </c>
    </row>
    <row r="229" spans="1:7" x14ac:dyDescent="0.2">
      <c r="A229" s="17" t="s">
        <v>222</v>
      </c>
      <c r="B229" s="17" t="s">
        <v>240</v>
      </c>
      <c r="C229" s="17">
        <v>4</v>
      </c>
      <c r="D229" s="17">
        <v>2025</v>
      </c>
      <c r="E229" s="18">
        <v>4.7309666669999997</v>
      </c>
      <c r="F229" s="18">
        <v>11.041</v>
      </c>
      <c r="G229" s="18">
        <v>0.56299999999999994</v>
      </c>
    </row>
    <row r="230" spans="1:7" x14ac:dyDescent="0.2">
      <c r="A230" s="17" t="s">
        <v>222</v>
      </c>
      <c r="B230" s="17" t="s">
        <v>240</v>
      </c>
      <c r="C230" s="17">
        <v>5</v>
      </c>
      <c r="D230" s="17">
        <v>2025</v>
      </c>
      <c r="E230" s="18">
        <v>11.12354435</v>
      </c>
      <c r="F230" s="18">
        <v>21.664000000000001</v>
      </c>
      <c r="G230" s="18">
        <v>5.3470000000000004</v>
      </c>
    </row>
    <row r="231" spans="1:7" x14ac:dyDescent="0.2">
      <c r="A231" s="17" t="s">
        <v>222</v>
      </c>
      <c r="B231" s="17" t="s">
        <v>240</v>
      </c>
      <c r="C231" s="17">
        <v>6</v>
      </c>
      <c r="D231" s="17">
        <v>2024</v>
      </c>
      <c r="E231" s="18">
        <v>19.32153898</v>
      </c>
      <c r="F231" s="18">
        <v>27.567</v>
      </c>
      <c r="G231" s="18">
        <v>14.613</v>
      </c>
    </row>
    <row r="232" spans="1:7" x14ac:dyDescent="0.2">
      <c r="A232" s="17" t="s">
        <v>222</v>
      </c>
      <c r="B232" s="17" t="s">
        <v>240</v>
      </c>
      <c r="C232" s="17">
        <v>6</v>
      </c>
      <c r="D232" s="17">
        <v>2025</v>
      </c>
      <c r="E232" s="18">
        <v>17.242325000000001</v>
      </c>
      <c r="F232" s="18">
        <v>25.318999999999999</v>
      </c>
      <c r="G232" s="18">
        <v>11.528</v>
      </c>
    </row>
    <row r="233" spans="1:7" x14ac:dyDescent="0.2">
      <c r="A233" s="17" t="s">
        <v>222</v>
      </c>
      <c r="B233" s="17" t="s">
        <v>240</v>
      </c>
      <c r="C233" s="17">
        <v>7</v>
      </c>
      <c r="D233" s="17">
        <v>2024</v>
      </c>
      <c r="E233" s="18">
        <v>21.793924730000001</v>
      </c>
      <c r="F233" s="18">
        <v>29.952999999999999</v>
      </c>
      <c r="G233" s="18">
        <v>14.709</v>
      </c>
    </row>
    <row r="234" spans="1:7" x14ac:dyDescent="0.2">
      <c r="A234" s="17" t="s">
        <v>222</v>
      </c>
      <c r="B234" s="17" t="s">
        <v>240</v>
      </c>
      <c r="C234" s="17">
        <v>7</v>
      </c>
      <c r="D234" s="17">
        <v>2025</v>
      </c>
      <c r="E234" s="18">
        <v>19.249131720000001</v>
      </c>
      <c r="F234" s="18">
        <v>26.683</v>
      </c>
      <c r="G234" s="18">
        <v>13.269</v>
      </c>
    </row>
    <row r="235" spans="1:7" x14ac:dyDescent="0.2">
      <c r="A235" s="17" t="s">
        <v>222</v>
      </c>
      <c r="B235" s="17" t="s">
        <v>240</v>
      </c>
      <c r="C235" s="17">
        <v>8</v>
      </c>
      <c r="D235" s="17">
        <v>2024</v>
      </c>
      <c r="E235" s="18">
        <v>19.561081990000002</v>
      </c>
      <c r="F235" s="18">
        <v>27.271999999999998</v>
      </c>
      <c r="G235" s="18">
        <v>11.819000000000001</v>
      </c>
    </row>
    <row r="236" spans="1:7" x14ac:dyDescent="0.2">
      <c r="A236" s="17" t="s">
        <v>222</v>
      </c>
      <c r="B236" s="17" t="s">
        <v>240</v>
      </c>
      <c r="C236" s="17">
        <v>8</v>
      </c>
      <c r="D236" s="17">
        <v>2025</v>
      </c>
      <c r="E236" s="18">
        <v>18.85364015</v>
      </c>
      <c r="F236" s="18">
        <v>25.125</v>
      </c>
      <c r="G236" s="18">
        <v>13.846</v>
      </c>
    </row>
    <row r="237" spans="1:7" x14ac:dyDescent="0.2">
      <c r="A237" s="17" t="s">
        <v>222</v>
      </c>
      <c r="B237" s="17" t="s">
        <v>240</v>
      </c>
      <c r="C237" s="17">
        <v>9</v>
      </c>
      <c r="D237" s="17">
        <v>2024</v>
      </c>
      <c r="E237" s="18">
        <v>15.507075</v>
      </c>
      <c r="F237" s="18">
        <v>23.196000000000002</v>
      </c>
      <c r="G237" s="18">
        <v>8.7789999999999999</v>
      </c>
    </row>
    <row r="238" spans="1:7" x14ac:dyDescent="0.2">
      <c r="A238" s="17" t="s">
        <v>222</v>
      </c>
      <c r="B238" s="17" t="s">
        <v>240</v>
      </c>
      <c r="C238" s="17">
        <v>10</v>
      </c>
      <c r="D238" s="17">
        <v>2024</v>
      </c>
      <c r="E238" s="18">
        <v>8.9635940860000005</v>
      </c>
      <c r="F238" s="18">
        <v>13.365</v>
      </c>
      <c r="G238" s="18">
        <v>3.5779999999999998</v>
      </c>
    </row>
    <row r="239" spans="1:7" x14ac:dyDescent="0.2">
      <c r="A239" s="17" t="s">
        <v>222</v>
      </c>
      <c r="B239" s="17" t="s">
        <v>240</v>
      </c>
      <c r="C239" s="17">
        <v>11</v>
      </c>
      <c r="D239" s="17">
        <v>2024</v>
      </c>
      <c r="E239" s="18">
        <v>5.0916708330000002</v>
      </c>
      <c r="F239" s="18">
        <v>8.0820000000000007</v>
      </c>
      <c r="G239" s="18">
        <v>1.8720000000000001</v>
      </c>
    </row>
    <row r="240" spans="1:7" x14ac:dyDescent="0.2">
      <c r="A240" s="17" t="s">
        <v>222</v>
      </c>
      <c r="B240" s="17" t="s">
        <v>240</v>
      </c>
      <c r="C240" s="17">
        <v>12</v>
      </c>
      <c r="D240" s="17">
        <v>2024</v>
      </c>
      <c r="E240" s="18">
        <v>0.50296236599999999</v>
      </c>
      <c r="F240" s="18">
        <v>4.5190000000000001</v>
      </c>
      <c r="G240" s="18">
        <v>-0.10199999999999999</v>
      </c>
    </row>
    <row r="241" spans="1:7" x14ac:dyDescent="0.2">
      <c r="A241" s="17" t="s">
        <v>208</v>
      </c>
      <c r="B241" s="17" t="s">
        <v>241</v>
      </c>
      <c r="C241" s="17">
        <v>1</v>
      </c>
      <c r="D241" s="17">
        <v>2025</v>
      </c>
      <c r="E241" s="18">
        <v>0.37485379099999999</v>
      </c>
      <c r="F241" s="18">
        <v>1.756142578</v>
      </c>
      <c r="G241" s="18">
        <v>4.0126953E-2</v>
      </c>
    </row>
    <row r="242" spans="1:7" x14ac:dyDescent="0.2">
      <c r="A242" s="17" t="s">
        <v>208</v>
      </c>
      <c r="B242" s="17" t="s">
        <v>241</v>
      </c>
      <c r="C242" s="17">
        <v>2</v>
      </c>
      <c r="D242" s="17">
        <v>2025</v>
      </c>
      <c r="E242" s="18">
        <v>0.18555416999999999</v>
      </c>
      <c r="F242" s="18">
        <v>0.55493164100000003</v>
      </c>
      <c r="G242" s="18">
        <v>4.0126953E-2</v>
      </c>
    </row>
    <row r="243" spans="1:7" x14ac:dyDescent="0.2">
      <c r="A243" s="17" t="s">
        <v>208</v>
      </c>
      <c r="B243" s="17" t="s">
        <v>241</v>
      </c>
      <c r="C243" s="17">
        <v>3</v>
      </c>
      <c r="D243" s="17">
        <v>2025</v>
      </c>
      <c r="E243" s="18">
        <v>0.92123053399999999</v>
      </c>
      <c r="F243" s="18">
        <v>4.0298632809999999</v>
      </c>
      <c r="G243" s="18">
        <v>4.0126953E-2</v>
      </c>
    </row>
    <row r="244" spans="1:7" x14ac:dyDescent="0.2">
      <c r="A244" s="17" t="s">
        <v>208</v>
      </c>
      <c r="B244" s="17" t="s">
        <v>241</v>
      </c>
      <c r="C244" s="17">
        <v>4</v>
      </c>
      <c r="D244" s="17">
        <v>2025</v>
      </c>
      <c r="E244" s="18">
        <v>2.905515544</v>
      </c>
      <c r="F244" s="18">
        <v>7.7192968750000004</v>
      </c>
      <c r="G244" s="18">
        <v>8.3027344000000003E-2</v>
      </c>
    </row>
    <row r="245" spans="1:7" x14ac:dyDescent="0.2">
      <c r="A245" s="17" t="s">
        <v>208</v>
      </c>
      <c r="B245" s="17" t="s">
        <v>241</v>
      </c>
      <c r="C245" s="17">
        <v>5</v>
      </c>
      <c r="D245" s="17">
        <v>2025</v>
      </c>
      <c r="E245" s="18">
        <v>8.5089754360000001</v>
      </c>
      <c r="F245" s="18">
        <v>17.800888669999999</v>
      </c>
      <c r="G245" s="18">
        <v>2.5283496090000002</v>
      </c>
    </row>
    <row r="246" spans="1:7" x14ac:dyDescent="0.2">
      <c r="A246" s="17" t="s">
        <v>208</v>
      </c>
      <c r="B246" s="17" t="s">
        <v>241</v>
      </c>
      <c r="C246" s="17">
        <v>6</v>
      </c>
      <c r="D246" s="17">
        <v>2024</v>
      </c>
      <c r="E246" s="18">
        <v>16.94154022</v>
      </c>
      <c r="F246" s="18">
        <v>22.991835940000001</v>
      </c>
      <c r="G246" s="18">
        <v>13.553750000000001</v>
      </c>
    </row>
    <row r="247" spans="1:7" x14ac:dyDescent="0.2">
      <c r="A247" s="17" t="s">
        <v>208</v>
      </c>
      <c r="B247" s="17" t="s">
        <v>241</v>
      </c>
      <c r="C247" s="17">
        <v>6</v>
      </c>
      <c r="D247" s="17">
        <v>2025</v>
      </c>
      <c r="E247" s="18">
        <v>14.729370039999999</v>
      </c>
      <c r="F247" s="18">
        <v>21.104218750000001</v>
      </c>
      <c r="G247" s="18">
        <v>9.8214160160000006</v>
      </c>
    </row>
    <row r="248" spans="1:7" x14ac:dyDescent="0.2">
      <c r="A248" s="17" t="s">
        <v>208</v>
      </c>
      <c r="B248" s="17" t="s">
        <v>241</v>
      </c>
      <c r="C248" s="17">
        <v>7</v>
      </c>
      <c r="D248" s="17">
        <v>2024</v>
      </c>
      <c r="E248" s="18">
        <v>19.498683159999999</v>
      </c>
      <c r="F248" s="18">
        <v>25.17975586</v>
      </c>
      <c r="G248" s="18">
        <v>14.025654299999999</v>
      </c>
    </row>
    <row r="249" spans="1:7" x14ac:dyDescent="0.2">
      <c r="A249" s="17" t="s">
        <v>208</v>
      </c>
      <c r="B249" s="17" t="s">
        <v>241</v>
      </c>
      <c r="C249" s="17">
        <v>8</v>
      </c>
      <c r="D249" s="17">
        <v>2024</v>
      </c>
      <c r="E249" s="18">
        <v>18.197544300000001</v>
      </c>
      <c r="F249" s="18">
        <v>24.36464844</v>
      </c>
      <c r="G249" s="18">
        <v>11.96643555</v>
      </c>
    </row>
    <row r="250" spans="1:7" x14ac:dyDescent="0.2">
      <c r="A250" s="17" t="s">
        <v>208</v>
      </c>
      <c r="B250" s="17" t="s">
        <v>241</v>
      </c>
      <c r="C250" s="17">
        <v>9</v>
      </c>
      <c r="D250" s="17">
        <v>2024</v>
      </c>
      <c r="E250" s="18">
        <v>13.493570289999999</v>
      </c>
      <c r="F250" s="18">
        <v>19.731406249999999</v>
      </c>
      <c r="G250" s="18">
        <v>8.4915039060000002</v>
      </c>
    </row>
    <row r="251" spans="1:7" x14ac:dyDescent="0.2">
      <c r="A251" s="17" t="s">
        <v>208</v>
      </c>
      <c r="B251" s="17" t="s">
        <v>241</v>
      </c>
      <c r="C251" s="17">
        <v>10</v>
      </c>
      <c r="D251" s="17">
        <v>2024</v>
      </c>
      <c r="E251" s="18">
        <v>7.9673003429999998</v>
      </c>
      <c r="F251" s="18">
        <v>12.30963867</v>
      </c>
      <c r="G251" s="18">
        <v>4.7591699219999999</v>
      </c>
    </row>
    <row r="252" spans="1:7" x14ac:dyDescent="0.2">
      <c r="A252" s="17" t="s">
        <v>208</v>
      </c>
      <c r="B252" s="17" t="s">
        <v>241</v>
      </c>
      <c r="C252" s="17">
        <v>11</v>
      </c>
      <c r="D252" s="17">
        <v>2024</v>
      </c>
      <c r="E252" s="18">
        <v>5.3092588420000002</v>
      </c>
      <c r="F252" s="18">
        <v>8.5773046879999999</v>
      </c>
      <c r="G252" s="18">
        <v>2.3138476560000001</v>
      </c>
    </row>
    <row r="253" spans="1:7" x14ac:dyDescent="0.2">
      <c r="A253" s="17" t="s">
        <v>208</v>
      </c>
      <c r="B253" s="17" t="s">
        <v>241</v>
      </c>
      <c r="C253" s="17">
        <v>12</v>
      </c>
      <c r="D253" s="17">
        <v>2024</v>
      </c>
      <c r="E253" s="18">
        <v>0.758650834</v>
      </c>
      <c r="F253" s="18">
        <v>3.5150585940000001</v>
      </c>
      <c r="G253" s="18">
        <v>8.3027344000000003E-2</v>
      </c>
    </row>
    <row r="254" spans="1:7" x14ac:dyDescent="0.2">
      <c r="A254" s="17" t="s">
        <v>218</v>
      </c>
      <c r="B254" s="17" t="s">
        <v>242</v>
      </c>
      <c r="C254" s="17">
        <v>1</v>
      </c>
      <c r="D254" s="17">
        <v>2025</v>
      </c>
      <c r="E254" s="18">
        <v>0.223145555</v>
      </c>
      <c r="F254" s="18">
        <v>0.769433594</v>
      </c>
      <c r="G254" s="18">
        <v>4.0126953E-2</v>
      </c>
    </row>
    <row r="255" spans="1:7" x14ac:dyDescent="0.2">
      <c r="A255" s="17" t="s">
        <v>218</v>
      </c>
      <c r="B255" s="17" t="s">
        <v>242</v>
      </c>
      <c r="C255" s="17">
        <v>2</v>
      </c>
      <c r="D255" s="17">
        <v>2025</v>
      </c>
      <c r="E255" s="18">
        <v>0.141313142</v>
      </c>
      <c r="F255" s="18">
        <v>0.21172851600000001</v>
      </c>
      <c r="G255" s="18">
        <v>8.3027344000000003E-2</v>
      </c>
    </row>
    <row r="256" spans="1:7" x14ac:dyDescent="0.2">
      <c r="A256" s="17" t="s">
        <v>218</v>
      </c>
      <c r="B256" s="17" t="s">
        <v>242</v>
      </c>
      <c r="C256" s="17">
        <v>3</v>
      </c>
      <c r="D256" s="17">
        <v>2025</v>
      </c>
      <c r="E256" s="18">
        <v>0.96159039099999999</v>
      </c>
      <c r="F256" s="18">
        <v>3.9011621089999999</v>
      </c>
      <c r="G256" s="18">
        <v>4.0126953E-2</v>
      </c>
    </row>
    <row r="257" spans="1:7" x14ac:dyDescent="0.2">
      <c r="A257" s="17" t="s">
        <v>218</v>
      </c>
      <c r="B257" s="17" t="s">
        <v>242</v>
      </c>
      <c r="C257" s="17">
        <v>4</v>
      </c>
      <c r="D257" s="17">
        <v>2025</v>
      </c>
      <c r="E257" s="18">
        <v>4.458152181</v>
      </c>
      <c r="F257" s="18">
        <v>8.4915039060000002</v>
      </c>
      <c r="G257" s="18">
        <v>0.29752929700000003</v>
      </c>
    </row>
    <row r="258" spans="1:7" x14ac:dyDescent="0.2">
      <c r="A258" s="17" t="s">
        <v>218</v>
      </c>
      <c r="B258" s="17" t="s">
        <v>242</v>
      </c>
      <c r="C258" s="17">
        <v>5</v>
      </c>
      <c r="D258" s="17">
        <v>2025</v>
      </c>
      <c r="E258" s="18">
        <v>11.539968760000001</v>
      </c>
      <c r="F258" s="18">
        <v>20.160410160000001</v>
      </c>
      <c r="G258" s="18">
        <v>5.1452734370000002</v>
      </c>
    </row>
    <row r="259" spans="1:7" x14ac:dyDescent="0.2">
      <c r="A259" s="17" t="s">
        <v>218</v>
      </c>
      <c r="B259" s="17" t="s">
        <v>242</v>
      </c>
      <c r="C259" s="17">
        <v>6</v>
      </c>
      <c r="D259" s="17">
        <v>2024</v>
      </c>
      <c r="E259" s="18">
        <v>19.89440596</v>
      </c>
      <c r="F259" s="18">
        <v>31.271611329999999</v>
      </c>
      <c r="G259" s="18">
        <v>16.256474610000001</v>
      </c>
    </row>
    <row r="260" spans="1:7" x14ac:dyDescent="0.2">
      <c r="A260" s="17" t="s">
        <v>218</v>
      </c>
      <c r="B260" s="17" t="s">
        <v>242</v>
      </c>
      <c r="C260" s="17">
        <v>6</v>
      </c>
      <c r="D260" s="17">
        <v>2025</v>
      </c>
      <c r="E260" s="18">
        <v>17.733201390000001</v>
      </c>
      <c r="F260" s="18">
        <v>23.37793945</v>
      </c>
      <c r="G260" s="18">
        <v>12.91024414</v>
      </c>
    </row>
    <row r="261" spans="1:7" x14ac:dyDescent="0.2">
      <c r="A261" s="17" t="s">
        <v>218</v>
      </c>
      <c r="B261" s="17" t="s">
        <v>242</v>
      </c>
      <c r="C261" s="17">
        <v>7</v>
      </c>
      <c r="D261" s="17">
        <v>2024</v>
      </c>
      <c r="E261" s="18">
        <v>22.477088909999999</v>
      </c>
      <c r="F261" s="18">
        <v>28.483085939999999</v>
      </c>
      <c r="G261" s="18">
        <v>16.72837891</v>
      </c>
    </row>
    <row r="262" spans="1:7" x14ac:dyDescent="0.2">
      <c r="A262" s="17" t="s">
        <v>218</v>
      </c>
      <c r="B262" s="17" t="s">
        <v>242</v>
      </c>
      <c r="C262" s="17">
        <v>7</v>
      </c>
      <c r="D262" s="17">
        <v>2025</v>
      </c>
      <c r="E262" s="18">
        <v>20.204925079999999</v>
      </c>
      <c r="F262" s="18">
        <v>27.882480470000001</v>
      </c>
      <c r="G262" s="18">
        <v>13.76825195</v>
      </c>
    </row>
    <row r="263" spans="1:7" x14ac:dyDescent="0.2">
      <c r="A263" s="17" t="s">
        <v>218</v>
      </c>
      <c r="B263" s="17" t="s">
        <v>242</v>
      </c>
      <c r="C263" s="17">
        <v>8</v>
      </c>
      <c r="D263" s="17">
        <v>2024</v>
      </c>
      <c r="E263" s="18">
        <v>19.92607254</v>
      </c>
      <c r="F263" s="18">
        <v>26.809970700000001</v>
      </c>
      <c r="G263" s="18">
        <v>14.19725586</v>
      </c>
    </row>
    <row r="264" spans="1:7" x14ac:dyDescent="0.2">
      <c r="A264" s="17" t="s">
        <v>218</v>
      </c>
      <c r="B264" s="17" t="s">
        <v>242</v>
      </c>
      <c r="C264" s="17">
        <v>8</v>
      </c>
      <c r="D264" s="17">
        <v>2025</v>
      </c>
      <c r="E264" s="18">
        <v>19.13900233</v>
      </c>
      <c r="F264" s="18">
        <v>23.978544920000001</v>
      </c>
      <c r="G264" s="18">
        <v>15.012363280000001</v>
      </c>
    </row>
    <row r="265" spans="1:7" x14ac:dyDescent="0.2">
      <c r="A265" s="17" t="s">
        <v>218</v>
      </c>
      <c r="B265" s="17" t="s">
        <v>242</v>
      </c>
      <c r="C265" s="17">
        <v>9</v>
      </c>
      <c r="D265" s="17">
        <v>2024</v>
      </c>
      <c r="E265" s="18">
        <v>15.891761710000001</v>
      </c>
      <c r="F265" s="18">
        <v>22.34833008</v>
      </c>
      <c r="G265" s="18">
        <v>10.89392578</v>
      </c>
    </row>
    <row r="266" spans="1:7" x14ac:dyDescent="0.2">
      <c r="A266" s="17" t="s">
        <v>218</v>
      </c>
      <c r="B266" s="17" t="s">
        <v>242</v>
      </c>
      <c r="C266" s="17">
        <v>10</v>
      </c>
      <c r="D266" s="17">
        <v>2024</v>
      </c>
      <c r="E266" s="18">
        <v>8.9310599249999996</v>
      </c>
      <c r="F266" s="18">
        <v>13.38214844</v>
      </c>
      <c r="G266" s="18">
        <v>3.9011621089999999</v>
      </c>
    </row>
    <row r="267" spans="1:7" x14ac:dyDescent="0.2">
      <c r="A267" s="17" t="s">
        <v>218</v>
      </c>
      <c r="B267" s="17" t="s">
        <v>242</v>
      </c>
      <c r="C267" s="17">
        <v>11</v>
      </c>
      <c r="D267" s="17">
        <v>2024</v>
      </c>
      <c r="E267" s="18">
        <v>4.7582179020000002</v>
      </c>
      <c r="F267" s="18">
        <v>7.333193359</v>
      </c>
      <c r="G267" s="18">
        <v>1.627441406</v>
      </c>
    </row>
    <row r="268" spans="1:7" x14ac:dyDescent="0.2">
      <c r="A268" s="17" t="s">
        <v>218</v>
      </c>
      <c r="B268" s="17" t="s">
        <v>242</v>
      </c>
      <c r="C268" s="17">
        <v>12</v>
      </c>
      <c r="D268" s="17">
        <v>2024</v>
      </c>
      <c r="E268" s="18">
        <v>0.41965702199999999</v>
      </c>
      <c r="F268" s="18">
        <v>2.828652344</v>
      </c>
      <c r="G268" s="18">
        <v>8.3027344000000003E-2</v>
      </c>
    </row>
    <row r="269" spans="1:7" x14ac:dyDescent="0.2">
      <c r="A269" s="17" t="s">
        <v>224</v>
      </c>
      <c r="B269" s="17" t="s">
        <v>243</v>
      </c>
      <c r="C269" s="17">
        <v>1</v>
      </c>
      <c r="D269" s="17">
        <v>2025</v>
      </c>
      <c r="E269" s="18">
        <v>0.40529923000000001</v>
      </c>
      <c r="F269" s="18">
        <v>2.9144531250000001</v>
      </c>
      <c r="G269" s="18">
        <v>8.3027344000000003E-2</v>
      </c>
    </row>
    <row r="270" spans="1:7" x14ac:dyDescent="0.2">
      <c r="A270" s="17" t="s">
        <v>224</v>
      </c>
      <c r="B270" s="17" t="s">
        <v>243</v>
      </c>
      <c r="C270" s="17">
        <v>2</v>
      </c>
      <c r="D270" s="17">
        <v>2025</v>
      </c>
      <c r="E270" s="18">
        <v>0.161997259</v>
      </c>
      <c r="F270" s="18">
        <v>0.25462890599999999</v>
      </c>
      <c r="G270" s="18">
        <v>8.3027344000000003E-2</v>
      </c>
    </row>
    <row r="271" spans="1:7" x14ac:dyDescent="0.2">
      <c r="A271" s="17" t="s">
        <v>224</v>
      </c>
      <c r="B271" s="17" t="s">
        <v>243</v>
      </c>
      <c r="C271" s="17">
        <v>3</v>
      </c>
      <c r="D271" s="17">
        <v>2025</v>
      </c>
      <c r="E271" s="18">
        <v>1.333605487</v>
      </c>
      <c r="F271" s="18">
        <v>5.4026757810000001</v>
      </c>
      <c r="G271" s="18">
        <v>8.3027344000000003E-2</v>
      </c>
    </row>
    <row r="272" spans="1:7" x14ac:dyDescent="0.2">
      <c r="A272" s="17" t="s">
        <v>224</v>
      </c>
      <c r="B272" s="17" t="s">
        <v>243</v>
      </c>
      <c r="C272" s="17">
        <v>4</v>
      </c>
      <c r="D272" s="17">
        <v>2025</v>
      </c>
      <c r="E272" s="18">
        <v>4.2206508520000003</v>
      </c>
      <c r="F272" s="18">
        <v>8.9205078130000004</v>
      </c>
      <c r="G272" s="18">
        <v>0.72653320300000002</v>
      </c>
    </row>
    <row r="273" spans="1:7" x14ac:dyDescent="0.2">
      <c r="A273" s="17" t="s">
        <v>224</v>
      </c>
      <c r="B273" s="17" t="s">
        <v>243</v>
      </c>
      <c r="C273" s="17">
        <v>5</v>
      </c>
      <c r="D273" s="17">
        <v>2025</v>
      </c>
      <c r="E273" s="18">
        <v>10.6968377</v>
      </c>
      <c r="F273" s="18">
        <v>18.787597659999999</v>
      </c>
      <c r="G273" s="18">
        <v>4.8020703129999998</v>
      </c>
    </row>
    <row r="274" spans="1:7" x14ac:dyDescent="0.2">
      <c r="A274" s="17" t="s">
        <v>224</v>
      </c>
      <c r="B274" s="17" t="s">
        <v>243</v>
      </c>
      <c r="C274" s="17">
        <v>6</v>
      </c>
      <c r="D274" s="17">
        <v>2024</v>
      </c>
      <c r="E274" s="18">
        <v>18.882430100000001</v>
      </c>
      <c r="F274" s="18">
        <v>30.542304690000002</v>
      </c>
      <c r="G274" s="18">
        <v>14.068554689999999</v>
      </c>
    </row>
    <row r="275" spans="1:7" x14ac:dyDescent="0.2">
      <c r="A275" s="17" t="s">
        <v>224</v>
      </c>
      <c r="B275" s="17" t="s">
        <v>243</v>
      </c>
      <c r="C275" s="17">
        <v>6</v>
      </c>
      <c r="D275" s="17">
        <v>2025</v>
      </c>
      <c r="E275" s="18">
        <v>16.756800420000001</v>
      </c>
      <c r="F275" s="18">
        <v>21.919326170000001</v>
      </c>
      <c r="G275" s="18">
        <v>11.79483398</v>
      </c>
    </row>
    <row r="276" spans="1:7" x14ac:dyDescent="0.2">
      <c r="A276" s="17" t="s">
        <v>224</v>
      </c>
      <c r="B276" s="17" t="s">
        <v>243</v>
      </c>
      <c r="C276" s="17">
        <v>7</v>
      </c>
      <c r="D276" s="17">
        <v>2024</v>
      </c>
      <c r="E276" s="18">
        <v>21.927975440000001</v>
      </c>
      <c r="F276" s="18">
        <v>29.512695310000002</v>
      </c>
      <c r="G276" s="18">
        <v>14.669160160000001</v>
      </c>
    </row>
    <row r="277" spans="1:7" x14ac:dyDescent="0.2">
      <c r="A277" s="17" t="s">
        <v>224</v>
      </c>
      <c r="B277" s="17" t="s">
        <v>243</v>
      </c>
      <c r="C277" s="17">
        <v>7</v>
      </c>
      <c r="D277" s="17">
        <v>2025</v>
      </c>
      <c r="E277" s="18">
        <v>20.264835699999999</v>
      </c>
      <c r="F277" s="18">
        <v>25.866162110000001</v>
      </c>
      <c r="G277" s="18">
        <v>15.012363280000001</v>
      </c>
    </row>
    <row r="278" spans="1:7" x14ac:dyDescent="0.2">
      <c r="A278" s="17" t="s">
        <v>224</v>
      </c>
      <c r="B278" s="17" t="s">
        <v>243</v>
      </c>
      <c r="C278" s="17">
        <v>8</v>
      </c>
      <c r="D278" s="17">
        <v>2024</v>
      </c>
      <c r="E278" s="18">
        <v>20.12569774</v>
      </c>
      <c r="F278" s="18">
        <v>27.15317383</v>
      </c>
      <c r="G278" s="18">
        <v>12.35253906</v>
      </c>
    </row>
    <row r="279" spans="1:7" x14ac:dyDescent="0.2">
      <c r="A279" s="17" t="s">
        <v>224</v>
      </c>
      <c r="B279" s="17" t="s">
        <v>243</v>
      </c>
      <c r="C279" s="17">
        <v>8</v>
      </c>
      <c r="D279" s="17">
        <v>2025</v>
      </c>
      <c r="E279" s="18">
        <v>20.878128759999999</v>
      </c>
      <c r="F279" s="18">
        <v>26.03776367</v>
      </c>
      <c r="G279" s="18">
        <v>16.72837891</v>
      </c>
    </row>
    <row r="280" spans="1:7" x14ac:dyDescent="0.2">
      <c r="A280" s="17" t="s">
        <v>224</v>
      </c>
      <c r="B280" s="17" t="s">
        <v>243</v>
      </c>
      <c r="C280" s="17">
        <v>9</v>
      </c>
      <c r="D280" s="17">
        <v>2024</v>
      </c>
      <c r="E280" s="18">
        <v>15.695313670000001</v>
      </c>
      <c r="F280" s="18">
        <v>23.24923828</v>
      </c>
      <c r="G280" s="18">
        <v>9.0492089839999998</v>
      </c>
    </row>
    <row r="281" spans="1:7" x14ac:dyDescent="0.2">
      <c r="A281" s="17" t="s">
        <v>224</v>
      </c>
      <c r="B281" s="17" t="s">
        <v>243</v>
      </c>
      <c r="C281" s="17">
        <v>10</v>
      </c>
      <c r="D281" s="17">
        <v>2024</v>
      </c>
      <c r="E281" s="18">
        <v>8.6775209229999994</v>
      </c>
      <c r="F281" s="18">
        <v>13.253447270000001</v>
      </c>
      <c r="G281" s="18">
        <v>3.0002539060000002</v>
      </c>
    </row>
    <row r="282" spans="1:7" x14ac:dyDescent="0.2">
      <c r="A282" s="17" t="s">
        <v>224</v>
      </c>
      <c r="B282" s="17" t="s">
        <v>243</v>
      </c>
      <c r="C282" s="17">
        <v>11</v>
      </c>
      <c r="D282" s="17">
        <v>2024</v>
      </c>
      <c r="E282" s="18">
        <v>4.9265468969999997</v>
      </c>
      <c r="F282" s="18">
        <v>7.8479980469999999</v>
      </c>
      <c r="G282" s="18">
        <v>1.1984375</v>
      </c>
    </row>
    <row r="283" spans="1:7" x14ac:dyDescent="0.2">
      <c r="A283" s="17" t="s">
        <v>224</v>
      </c>
      <c r="B283" s="17" t="s">
        <v>243</v>
      </c>
      <c r="C283" s="17">
        <v>12</v>
      </c>
      <c r="D283" s="17">
        <v>2024</v>
      </c>
      <c r="E283" s="18">
        <v>0.58387787199999996</v>
      </c>
      <c r="F283" s="18">
        <v>5.9603808589999998</v>
      </c>
      <c r="G283" s="18">
        <v>8.3027344000000003E-2</v>
      </c>
    </row>
  </sheetData>
  <autoFilter ref="A1:G28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/>
  </sheetViews>
  <sheetFormatPr baseColWidth="10" defaultColWidth="12.6640625" defaultRowHeight="15.75" customHeight="1" x14ac:dyDescent="0.15"/>
  <cols>
    <col min="2" max="2" width="32.1640625" customWidth="1"/>
    <col min="6" max="6" width="12.6640625" customWidth="1"/>
    <col min="7" max="7" width="16.1640625" customWidth="1"/>
  </cols>
  <sheetData>
    <row r="1" spans="1:11" ht="15.75" customHeight="1" x14ac:dyDescent="0.15">
      <c r="A1" s="19" t="s">
        <v>244</v>
      </c>
      <c r="B1" s="19" t="s">
        <v>245</v>
      </c>
      <c r="C1" s="19"/>
      <c r="D1" s="19"/>
      <c r="E1" s="19"/>
      <c r="F1" s="20"/>
      <c r="G1" s="20"/>
      <c r="H1" s="20"/>
      <c r="I1" s="19"/>
      <c r="J1" s="19"/>
      <c r="K1" s="19"/>
    </row>
    <row r="2" spans="1:11" ht="15.75" customHeight="1" x14ac:dyDescent="0.15">
      <c r="A2" s="3" t="s">
        <v>7</v>
      </c>
      <c r="B2" s="15" t="s">
        <v>246</v>
      </c>
      <c r="F2" s="13"/>
      <c r="G2" s="13"/>
      <c r="H2" s="13"/>
    </row>
    <row r="3" spans="1:11" ht="15.75" customHeight="1" x14ac:dyDescent="0.15">
      <c r="A3" s="3" t="s">
        <v>10</v>
      </c>
      <c r="B3" s="15" t="s">
        <v>247</v>
      </c>
      <c r="F3" s="13"/>
      <c r="G3" s="13"/>
      <c r="H3" s="13"/>
    </row>
    <row r="4" spans="1:11" ht="15.75" customHeight="1" x14ac:dyDescent="0.15">
      <c r="A4" s="3" t="s">
        <v>13</v>
      </c>
      <c r="B4" s="15" t="s">
        <v>248</v>
      </c>
      <c r="F4" s="13"/>
      <c r="G4" s="13"/>
      <c r="H4" s="13"/>
    </row>
    <row r="5" spans="1:11" ht="15.75" customHeight="1" x14ac:dyDescent="0.15">
      <c r="A5" s="3" t="s">
        <v>16</v>
      </c>
      <c r="B5" s="15" t="s">
        <v>249</v>
      </c>
      <c r="F5" s="13"/>
      <c r="G5" s="13"/>
      <c r="H5" s="13"/>
    </row>
    <row r="6" spans="1:11" ht="15.75" customHeight="1" x14ac:dyDescent="0.15">
      <c r="A6" s="3" t="s">
        <v>19</v>
      </c>
      <c r="B6" s="15" t="s">
        <v>250</v>
      </c>
      <c r="F6" s="13"/>
      <c r="G6" s="13"/>
      <c r="H6" s="13"/>
    </row>
    <row r="7" spans="1:11" ht="15.75" customHeight="1" x14ac:dyDescent="0.15">
      <c r="A7" s="3" t="s">
        <v>22</v>
      </c>
      <c r="B7" s="15" t="s">
        <v>251</v>
      </c>
      <c r="F7" s="13"/>
      <c r="G7" s="13"/>
      <c r="H7" s="13"/>
    </row>
    <row r="8" spans="1:11" ht="15.75" customHeight="1" x14ac:dyDescent="0.15">
      <c r="A8" s="3" t="s">
        <v>25</v>
      </c>
      <c r="B8" s="15" t="s">
        <v>252</v>
      </c>
      <c r="F8" s="13"/>
      <c r="G8" s="13"/>
      <c r="H8" s="13"/>
    </row>
    <row r="9" spans="1:11" ht="15.75" customHeight="1" x14ac:dyDescent="0.15">
      <c r="A9" s="3" t="s">
        <v>28</v>
      </c>
      <c r="B9" s="15" t="s">
        <v>253</v>
      </c>
      <c r="F9" s="13"/>
      <c r="G9" s="13"/>
      <c r="H9" s="13"/>
    </row>
    <row r="10" spans="1:11" ht="15.75" customHeight="1" x14ac:dyDescent="0.15">
      <c r="A10" s="3" t="s">
        <v>31</v>
      </c>
      <c r="B10" s="15" t="s">
        <v>254</v>
      </c>
      <c r="F10" s="13"/>
      <c r="G10" s="13"/>
      <c r="H10" s="13"/>
    </row>
    <row r="11" spans="1:11" ht="15.75" customHeight="1" x14ac:dyDescent="0.15">
      <c r="A11" s="3" t="s">
        <v>34</v>
      </c>
      <c r="B11" s="15" t="s">
        <v>255</v>
      </c>
      <c r="F11" s="13"/>
      <c r="G11" s="13"/>
      <c r="H11" s="13"/>
    </row>
    <row r="12" spans="1:11" ht="15.75" customHeight="1" x14ac:dyDescent="0.15">
      <c r="A12" s="3" t="s">
        <v>37</v>
      </c>
      <c r="B12" s="15" t="s">
        <v>256</v>
      </c>
      <c r="F12" s="13"/>
      <c r="G12" s="13"/>
      <c r="H12" s="13"/>
    </row>
    <row r="13" spans="1:11" ht="15.75" customHeight="1" x14ac:dyDescent="0.15">
      <c r="A13" s="3" t="s">
        <v>40</v>
      </c>
      <c r="B13" s="15" t="s">
        <v>257</v>
      </c>
      <c r="F13" s="13"/>
      <c r="G13" s="13"/>
      <c r="H13" s="13"/>
    </row>
    <row r="14" spans="1:11" ht="15.75" customHeight="1" x14ac:dyDescent="0.15">
      <c r="A14" s="3" t="s">
        <v>43</v>
      </c>
      <c r="B14" s="15" t="s">
        <v>258</v>
      </c>
      <c r="F14" s="13"/>
      <c r="G14" s="13"/>
      <c r="H14" s="13"/>
    </row>
    <row r="15" spans="1:11" ht="15.75" customHeight="1" x14ac:dyDescent="0.15">
      <c r="A15" s="5" t="s">
        <v>46</v>
      </c>
      <c r="B15" s="15" t="s">
        <v>259</v>
      </c>
      <c r="F15" s="13"/>
      <c r="G15" s="13"/>
      <c r="H15" s="13"/>
    </row>
    <row r="16" spans="1:11" ht="15.75" customHeight="1" x14ac:dyDescent="0.15">
      <c r="A16" s="3" t="s">
        <v>49</v>
      </c>
      <c r="B16" s="15" t="s">
        <v>260</v>
      </c>
      <c r="F16" s="13"/>
      <c r="G16" s="13"/>
      <c r="H16" s="13"/>
    </row>
    <row r="17" spans="1:8" ht="15.75" customHeight="1" x14ac:dyDescent="0.15">
      <c r="A17" s="3" t="s">
        <v>52</v>
      </c>
      <c r="B17" s="15" t="s">
        <v>261</v>
      </c>
      <c r="F17" s="13"/>
      <c r="G17" s="13"/>
      <c r="H17" s="13"/>
    </row>
    <row r="18" spans="1:8" ht="15.75" customHeight="1" x14ac:dyDescent="0.15">
      <c r="A18" s="3" t="s">
        <v>55</v>
      </c>
      <c r="B18" s="15" t="s">
        <v>262</v>
      </c>
      <c r="F18" s="13"/>
      <c r="G18" s="13"/>
      <c r="H18" s="13"/>
    </row>
    <row r="19" spans="1:8" ht="15.75" customHeight="1" x14ac:dyDescent="0.15">
      <c r="A19" s="3" t="s">
        <v>58</v>
      </c>
      <c r="B19" s="15" t="s">
        <v>263</v>
      </c>
      <c r="F19" s="13"/>
      <c r="G19" s="13"/>
      <c r="H19" s="13"/>
    </row>
    <row r="20" spans="1:8" ht="15.75" customHeight="1" x14ac:dyDescent="0.15">
      <c r="A20" s="3" t="s">
        <v>61</v>
      </c>
      <c r="B20" s="15" t="s">
        <v>264</v>
      </c>
      <c r="F20" s="13"/>
      <c r="G20" s="13"/>
      <c r="H20" s="13"/>
    </row>
    <row r="21" spans="1:8" ht="15.75" customHeight="1" x14ac:dyDescent="0.15">
      <c r="A21" s="3" t="s">
        <v>64</v>
      </c>
      <c r="B21" s="15" t="s">
        <v>265</v>
      </c>
      <c r="F21" s="13"/>
      <c r="G21" s="13"/>
      <c r="H21" s="13"/>
    </row>
    <row r="22" spans="1:8" ht="15.75" customHeight="1" x14ac:dyDescent="0.15">
      <c r="A22" s="3" t="s">
        <v>67</v>
      </c>
      <c r="B22" s="15" t="s">
        <v>266</v>
      </c>
      <c r="F22" s="13"/>
      <c r="G22" s="13"/>
      <c r="H22" s="13"/>
    </row>
    <row r="23" spans="1:8" ht="15.75" customHeight="1" x14ac:dyDescent="0.15">
      <c r="A23" s="3" t="s">
        <v>70</v>
      </c>
      <c r="B23" s="15" t="s">
        <v>267</v>
      </c>
      <c r="F23" s="13"/>
      <c r="G23" s="13"/>
      <c r="H23" s="13"/>
    </row>
    <row r="24" spans="1:8" ht="15.75" customHeight="1" x14ac:dyDescent="0.15">
      <c r="A24" s="3" t="s">
        <v>73</v>
      </c>
      <c r="B24" s="15" t="s">
        <v>268</v>
      </c>
      <c r="F24" s="13"/>
      <c r="G24" s="13"/>
      <c r="H24" s="13"/>
    </row>
    <row r="25" spans="1:8" ht="15.75" customHeight="1" x14ac:dyDescent="0.15">
      <c r="A25" s="3" t="s">
        <v>76</v>
      </c>
      <c r="B25" s="15" t="s">
        <v>269</v>
      </c>
      <c r="F25" s="13"/>
      <c r="G25" s="13"/>
      <c r="H25" s="13"/>
    </row>
    <row r="26" spans="1:8" ht="15.75" customHeight="1" x14ac:dyDescent="0.15">
      <c r="A26" s="3" t="s">
        <v>79</v>
      </c>
      <c r="B26" s="15" t="s">
        <v>270</v>
      </c>
      <c r="F26" s="13"/>
      <c r="G26" s="13"/>
      <c r="H26" s="13"/>
    </row>
    <row r="27" spans="1:8" ht="15.75" customHeight="1" x14ac:dyDescent="0.15">
      <c r="A27" s="3" t="s">
        <v>82</v>
      </c>
      <c r="B27" s="15" t="s">
        <v>271</v>
      </c>
      <c r="F27" s="13"/>
      <c r="G27" s="13"/>
      <c r="H27" s="13"/>
    </row>
    <row r="28" spans="1:8" ht="15.75" customHeight="1" x14ac:dyDescent="0.15">
      <c r="A28" s="3" t="s">
        <v>85</v>
      </c>
      <c r="B28" s="15" t="s">
        <v>272</v>
      </c>
      <c r="F28" s="13"/>
      <c r="G28" s="13"/>
      <c r="H28" s="13"/>
    </row>
    <row r="29" spans="1:8" ht="15.75" customHeight="1" x14ac:dyDescent="0.15">
      <c r="A29" s="3" t="s">
        <v>88</v>
      </c>
      <c r="B29" s="15" t="s">
        <v>273</v>
      </c>
      <c r="F29" s="13"/>
      <c r="G29" s="13"/>
      <c r="H29" s="13"/>
    </row>
    <row r="30" spans="1:8" ht="15.75" customHeight="1" x14ac:dyDescent="0.15">
      <c r="A30" s="3" t="s">
        <v>91</v>
      </c>
      <c r="B30" s="15" t="s">
        <v>274</v>
      </c>
      <c r="F30" s="13"/>
      <c r="G30" s="13"/>
      <c r="H30" s="13"/>
    </row>
    <row r="31" spans="1:8" ht="15.75" customHeight="1" x14ac:dyDescent="0.15">
      <c r="A31" s="3" t="s">
        <v>94</v>
      </c>
      <c r="B31" s="15" t="s">
        <v>275</v>
      </c>
      <c r="F31" s="13"/>
      <c r="G31" s="13"/>
      <c r="H31" s="13"/>
    </row>
    <row r="32" spans="1:8" ht="15.75" customHeight="1" x14ac:dyDescent="0.15">
      <c r="A32" s="3" t="s">
        <v>97</v>
      </c>
      <c r="B32" s="15" t="s">
        <v>276</v>
      </c>
      <c r="F32" s="13"/>
      <c r="G32" s="13"/>
      <c r="H32" s="13"/>
    </row>
    <row r="33" spans="1:8" ht="15.75" customHeight="1" x14ac:dyDescent="0.15">
      <c r="A33" s="3" t="s">
        <v>100</v>
      </c>
      <c r="B33" s="15" t="s">
        <v>277</v>
      </c>
      <c r="F33" s="13"/>
      <c r="G33" s="13"/>
      <c r="H33" s="13"/>
    </row>
    <row r="34" spans="1:8" ht="15.75" customHeight="1" x14ac:dyDescent="0.15">
      <c r="A34" s="3" t="s">
        <v>103</v>
      </c>
      <c r="B34" s="15" t="s">
        <v>278</v>
      </c>
      <c r="F34" s="13"/>
      <c r="G34" s="13"/>
      <c r="H34" s="13"/>
    </row>
    <row r="35" spans="1:8" ht="15.75" customHeight="1" x14ac:dyDescent="0.15">
      <c r="A35" s="3" t="s">
        <v>106</v>
      </c>
      <c r="B35" s="15" t="s">
        <v>279</v>
      </c>
      <c r="F35" s="13"/>
      <c r="G35" s="13"/>
      <c r="H35" s="13"/>
    </row>
    <row r="36" spans="1:8" ht="15.75" customHeight="1" x14ac:dyDescent="0.15">
      <c r="A36" s="3" t="s">
        <v>109</v>
      </c>
      <c r="B36" s="15" t="s">
        <v>280</v>
      </c>
      <c r="F36" s="13"/>
      <c r="G36" s="13"/>
      <c r="H36" s="13"/>
    </row>
    <row r="37" spans="1:8" ht="15.75" customHeight="1" x14ac:dyDescent="0.15">
      <c r="A37" s="3" t="s">
        <v>112</v>
      </c>
      <c r="B37" s="15" t="s">
        <v>281</v>
      </c>
      <c r="F37" s="13"/>
      <c r="G37" s="13"/>
      <c r="H37" s="13"/>
    </row>
    <row r="38" spans="1:8" ht="15.75" customHeight="1" x14ac:dyDescent="0.15">
      <c r="A38" s="3" t="s">
        <v>115</v>
      </c>
      <c r="B38" s="15" t="s">
        <v>282</v>
      </c>
      <c r="F38" s="13"/>
      <c r="G38" s="13"/>
      <c r="H38" s="13"/>
    </row>
    <row r="39" spans="1:8" ht="15.75" customHeight="1" x14ac:dyDescent="0.15">
      <c r="A39" s="3" t="s">
        <v>118</v>
      </c>
      <c r="B39" s="15" t="s">
        <v>283</v>
      </c>
      <c r="F39" s="13"/>
      <c r="G39" s="13"/>
      <c r="H39" s="13"/>
    </row>
    <row r="40" spans="1:8" ht="15.75" customHeight="1" x14ac:dyDescent="0.15">
      <c r="A40" s="3" t="s">
        <v>121</v>
      </c>
      <c r="B40" s="15" t="s">
        <v>284</v>
      </c>
      <c r="F40" s="13"/>
      <c r="G40" s="13"/>
      <c r="H40" s="13"/>
    </row>
    <row r="41" spans="1:8" ht="15.75" customHeight="1" x14ac:dyDescent="0.15">
      <c r="A41" s="3" t="s">
        <v>124</v>
      </c>
      <c r="B41" s="15" t="s">
        <v>285</v>
      </c>
      <c r="F41" s="13"/>
      <c r="G41" s="13"/>
      <c r="H41" s="13"/>
    </row>
    <row r="42" spans="1:8" ht="15.75" customHeight="1" x14ac:dyDescent="0.15">
      <c r="A42" s="3" t="s">
        <v>127</v>
      </c>
      <c r="B42" s="15" t="s">
        <v>286</v>
      </c>
      <c r="F42" s="13"/>
      <c r="G42" s="13"/>
      <c r="H42" s="13"/>
    </row>
    <row r="43" spans="1:8" ht="15.75" customHeight="1" x14ac:dyDescent="0.15">
      <c r="A43" s="3" t="s">
        <v>130</v>
      </c>
      <c r="B43" s="15" t="s">
        <v>287</v>
      </c>
      <c r="F43" s="13"/>
      <c r="G43" s="13"/>
      <c r="H43" s="13"/>
    </row>
    <row r="44" spans="1:8" ht="15.75" customHeight="1" x14ac:dyDescent="0.15">
      <c r="A44" s="3" t="s">
        <v>133</v>
      </c>
      <c r="B44" s="15" t="s">
        <v>288</v>
      </c>
      <c r="F44" s="13"/>
      <c r="G44" s="13"/>
      <c r="H44" s="13"/>
    </row>
    <row r="45" spans="1:8" ht="15.75" customHeight="1" x14ac:dyDescent="0.15">
      <c r="A45" s="3" t="s">
        <v>136</v>
      </c>
      <c r="B45" s="15" t="s">
        <v>289</v>
      </c>
      <c r="F45" s="13"/>
      <c r="G45" s="13"/>
      <c r="H45" s="13"/>
    </row>
    <row r="46" spans="1:8" ht="15.75" customHeight="1" x14ac:dyDescent="0.15">
      <c r="A46" s="3" t="s">
        <v>139</v>
      </c>
      <c r="B46" s="15" t="s">
        <v>290</v>
      </c>
      <c r="F46" s="13"/>
      <c r="G46" s="13"/>
      <c r="H46" s="13"/>
    </row>
    <row r="47" spans="1:8" ht="15.75" customHeight="1" x14ac:dyDescent="0.15">
      <c r="A47" s="3" t="s">
        <v>142</v>
      </c>
      <c r="B47" s="15" t="s">
        <v>291</v>
      </c>
      <c r="F47" s="13"/>
      <c r="G47" s="13"/>
      <c r="H47" s="13"/>
    </row>
    <row r="48" spans="1:8" ht="15.75" customHeight="1" x14ac:dyDescent="0.15">
      <c r="A48" s="3" t="s">
        <v>145</v>
      </c>
      <c r="B48" s="15" t="s">
        <v>292</v>
      </c>
      <c r="F48" s="13"/>
      <c r="G48" s="13"/>
      <c r="H48" s="13"/>
    </row>
    <row r="49" spans="1:8" ht="15.75" customHeight="1" x14ac:dyDescent="0.15">
      <c r="A49" s="3" t="s">
        <v>148</v>
      </c>
      <c r="B49" s="15" t="s">
        <v>293</v>
      </c>
      <c r="F49" s="13"/>
      <c r="G49" s="13"/>
      <c r="H49" s="13"/>
    </row>
    <row r="50" spans="1:8" ht="15.75" customHeight="1" x14ac:dyDescent="0.15">
      <c r="A50" s="3" t="s">
        <v>151</v>
      </c>
      <c r="B50" s="15" t="s">
        <v>294</v>
      </c>
      <c r="F50" s="13"/>
      <c r="G50" s="13"/>
      <c r="H50" s="13"/>
    </row>
    <row r="51" spans="1:8" ht="14" x14ac:dyDescent="0.15">
      <c r="A51" s="3" t="s">
        <v>154</v>
      </c>
      <c r="B51" s="15" t="s">
        <v>295</v>
      </c>
      <c r="F51" s="13"/>
      <c r="G51" s="13"/>
      <c r="H51" s="13"/>
    </row>
    <row r="52" spans="1:8" ht="14" x14ac:dyDescent="0.15">
      <c r="A52" s="3" t="s">
        <v>157</v>
      </c>
      <c r="B52" s="15" t="s">
        <v>296</v>
      </c>
      <c r="F52" s="13"/>
      <c r="G52" s="13"/>
      <c r="H52" s="13"/>
    </row>
    <row r="53" spans="1:8" ht="14" x14ac:dyDescent="0.15">
      <c r="A53" s="3" t="s">
        <v>160</v>
      </c>
      <c r="B53" s="15" t="s">
        <v>297</v>
      </c>
      <c r="F53" s="13"/>
      <c r="G53" s="13"/>
      <c r="H53" s="13"/>
    </row>
    <row r="54" spans="1:8" ht="14" x14ac:dyDescent="0.15">
      <c r="A54" s="3" t="s">
        <v>163</v>
      </c>
      <c r="B54" s="15" t="s">
        <v>298</v>
      </c>
      <c r="F54" s="13"/>
      <c r="G54" s="13"/>
      <c r="H54" s="13"/>
    </row>
    <row r="55" spans="1:8" ht="14" x14ac:dyDescent="0.15">
      <c r="A55" s="3" t="s">
        <v>166</v>
      </c>
      <c r="B55" s="15" t="s">
        <v>299</v>
      </c>
      <c r="F55" s="13"/>
      <c r="G55" s="13"/>
      <c r="H55" s="13"/>
    </row>
    <row r="56" spans="1:8" ht="14" x14ac:dyDescent="0.15">
      <c r="A56" s="3" t="s">
        <v>169</v>
      </c>
      <c r="B56" s="15" t="s">
        <v>300</v>
      </c>
      <c r="F56" s="13"/>
      <c r="G56" s="13"/>
      <c r="H56" s="13"/>
    </row>
    <row r="57" spans="1:8" ht="14" x14ac:dyDescent="0.15">
      <c r="A57" s="3" t="s">
        <v>172</v>
      </c>
      <c r="B57" s="15" t="s">
        <v>301</v>
      </c>
      <c r="F57" s="13"/>
      <c r="G57" s="13"/>
      <c r="H57" s="13"/>
    </row>
    <row r="58" spans="1:8" ht="14" x14ac:dyDescent="0.15">
      <c r="A58" s="3" t="s">
        <v>175</v>
      </c>
      <c r="B58" s="15" t="s">
        <v>302</v>
      </c>
      <c r="F58" s="13"/>
      <c r="G58" s="13"/>
      <c r="H58" s="13"/>
    </row>
    <row r="59" spans="1:8" ht="14" x14ac:dyDescent="0.15">
      <c r="A59" s="3" t="s">
        <v>178</v>
      </c>
      <c r="B59" s="15" t="s">
        <v>303</v>
      </c>
      <c r="F59" s="13"/>
      <c r="G59" s="13"/>
      <c r="H59" s="13"/>
    </row>
    <row r="60" spans="1:8" ht="13" x14ac:dyDescent="0.15">
      <c r="F60" s="13"/>
      <c r="G60" s="13"/>
      <c r="H60" s="13"/>
    </row>
    <row r="61" spans="1:8" ht="13" x14ac:dyDescent="0.15">
      <c r="F61" s="13"/>
      <c r="G61" s="13"/>
      <c r="H61" s="13"/>
    </row>
    <row r="62" spans="1:8" ht="13" x14ac:dyDescent="0.15">
      <c r="F62" s="13"/>
      <c r="G62" s="13"/>
      <c r="H62" s="13"/>
    </row>
    <row r="63" spans="1:8" ht="13" x14ac:dyDescent="0.15">
      <c r="F63" s="13"/>
      <c r="G63" s="13"/>
      <c r="H63" s="13"/>
    </row>
    <row r="64" spans="1:8" ht="13" x14ac:dyDescent="0.15">
      <c r="F64" s="13"/>
      <c r="G64" s="13"/>
      <c r="H64" s="13"/>
    </row>
    <row r="65" spans="6:8" ht="13" x14ac:dyDescent="0.15">
      <c r="F65" s="13"/>
      <c r="G65" s="13"/>
      <c r="H65" s="13"/>
    </row>
    <row r="66" spans="6:8" ht="13" x14ac:dyDescent="0.15">
      <c r="F66" s="13"/>
      <c r="G66" s="13"/>
      <c r="H66" s="13"/>
    </row>
    <row r="67" spans="6:8" ht="13" x14ac:dyDescent="0.15">
      <c r="F67" s="13"/>
      <c r="G67" s="13"/>
      <c r="H67" s="13"/>
    </row>
    <row r="68" spans="6:8" ht="13" x14ac:dyDescent="0.15">
      <c r="F68" s="13"/>
      <c r="G68" s="13"/>
      <c r="H68" s="13"/>
    </row>
    <row r="69" spans="6:8" ht="13" x14ac:dyDescent="0.15">
      <c r="F69" s="13"/>
      <c r="G69" s="13"/>
      <c r="H69" s="13"/>
    </row>
    <row r="70" spans="6:8" ht="13" x14ac:dyDescent="0.15">
      <c r="F70" s="13"/>
      <c r="G70" s="13"/>
      <c r="H70" s="13"/>
    </row>
    <row r="71" spans="6:8" ht="13" x14ac:dyDescent="0.15">
      <c r="F71" s="13"/>
      <c r="G71" s="13"/>
      <c r="H71" s="13"/>
    </row>
    <row r="72" spans="6:8" ht="13" x14ac:dyDescent="0.15">
      <c r="F72" s="13"/>
      <c r="G72" s="13"/>
      <c r="H72" s="13"/>
    </row>
    <row r="73" spans="6:8" ht="13" x14ac:dyDescent="0.15">
      <c r="F73" s="13"/>
      <c r="G73" s="13"/>
      <c r="H73" s="13"/>
    </row>
    <row r="74" spans="6:8" ht="13" x14ac:dyDescent="0.15">
      <c r="F74" s="13"/>
      <c r="G74" s="13"/>
      <c r="H74" s="13"/>
    </row>
    <row r="75" spans="6:8" ht="13" x14ac:dyDescent="0.15">
      <c r="F75" s="13"/>
      <c r="G75" s="13"/>
      <c r="H75" s="13"/>
    </row>
    <row r="76" spans="6:8" ht="13" x14ac:dyDescent="0.15">
      <c r="F76" s="13"/>
      <c r="G76" s="13"/>
      <c r="H76" s="13"/>
    </row>
    <row r="77" spans="6:8" ht="13" x14ac:dyDescent="0.15">
      <c r="F77" s="13"/>
      <c r="G77" s="13"/>
      <c r="H77" s="13"/>
    </row>
    <row r="78" spans="6:8" ht="13" x14ac:dyDescent="0.15">
      <c r="F78" s="13"/>
      <c r="G78" s="13"/>
      <c r="H78" s="13"/>
    </row>
    <row r="79" spans="6:8" ht="13" x14ac:dyDescent="0.15">
      <c r="F79" s="13"/>
      <c r="G79" s="13"/>
      <c r="H79" s="13"/>
    </row>
    <row r="80" spans="6:8" ht="13" x14ac:dyDescent="0.15">
      <c r="F80" s="13"/>
      <c r="G80" s="13"/>
      <c r="H80" s="13"/>
    </row>
    <row r="81" spans="6:8" ht="13" x14ac:dyDescent="0.15">
      <c r="F81" s="13"/>
      <c r="G81" s="13"/>
      <c r="H81" s="13"/>
    </row>
    <row r="82" spans="6:8" ht="13" x14ac:dyDescent="0.15">
      <c r="F82" s="13"/>
      <c r="G82" s="13"/>
      <c r="H82" s="13"/>
    </row>
    <row r="83" spans="6:8" ht="13" x14ac:dyDescent="0.15">
      <c r="F83" s="13"/>
      <c r="G83" s="13"/>
      <c r="H83" s="13"/>
    </row>
    <row r="84" spans="6:8" ht="13" x14ac:dyDescent="0.15">
      <c r="F84" s="13"/>
      <c r="G84" s="13"/>
      <c r="H84" s="13"/>
    </row>
    <row r="85" spans="6:8" ht="13" x14ac:dyDescent="0.15">
      <c r="F85" s="13"/>
      <c r="G85" s="13"/>
      <c r="H85" s="13"/>
    </row>
    <row r="86" spans="6:8" ht="13" x14ac:dyDescent="0.15">
      <c r="F86" s="13"/>
      <c r="G86" s="13"/>
      <c r="H86" s="13"/>
    </row>
    <row r="87" spans="6:8" ht="13" x14ac:dyDescent="0.15">
      <c r="F87" s="13"/>
      <c r="G87" s="13"/>
      <c r="H87" s="13"/>
    </row>
    <row r="88" spans="6:8" ht="13" x14ac:dyDescent="0.15">
      <c r="F88" s="13"/>
      <c r="G88" s="13"/>
      <c r="H88" s="13"/>
    </row>
    <row r="89" spans="6:8" ht="13" x14ac:dyDescent="0.15">
      <c r="F89" s="13"/>
      <c r="G89" s="13"/>
      <c r="H89" s="13"/>
    </row>
    <row r="90" spans="6:8" ht="13" x14ac:dyDescent="0.15">
      <c r="F90" s="13"/>
      <c r="G90" s="13"/>
      <c r="H90" s="13"/>
    </row>
    <row r="91" spans="6:8" ht="13" x14ac:dyDescent="0.15">
      <c r="F91" s="13"/>
      <c r="G91" s="13"/>
      <c r="H91" s="13"/>
    </row>
    <row r="92" spans="6:8" ht="13" x14ac:dyDescent="0.15">
      <c r="F92" s="13"/>
      <c r="G92" s="13"/>
      <c r="H92" s="13"/>
    </row>
    <row r="93" spans="6:8" ht="13" x14ac:dyDescent="0.15">
      <c r="F93" s="13"/>
      <c r="G93" s="13"/>
      <c r="H93" s="13"/>
    </row>
    <row r="94" spans="6:8" ht="13" x14ac:dyDescent="0.15">
      <c r="F94" s="13"/>
      <c r="G94" s="13"/>
      <c r="H94" s="13"/>
    </row>
    <row r="95" spans="6:8" ht="13" x14ac:dyDescent="0.15">
      <c r="F95" s="13"/>
      <c r="G95" s="13"/>
      <c r="H95" s="13"/>
    </row>
    <row r="96" spans="6:8" ht="13" x14ac:dyDescent="0.15">
      <c r="F96" s="13"/>
      <c r="G96" s="13"/>
      <c r="H96" s="13"/>
    </row>
    <row r="97" spans="6:8" ht="13" x14ac:dyDescent="0.15">
      <c r="F97" s="13"/>
      <c r="G97" s="13"/>
      <c r="H97" s="13"/>
    </row>
    <row r="98" spans="6:8" ht="13" x14ac:dyDescent="0.15">
      <c r="F98" s="13"/>
      <c r="G98" s="13"/>
      <c r="H98" s="13"/>
    </row>
    <row r="99" spans="6:8" ht="13" x14ac:dyDescent="0.15">
      <c r="F99" s="13"/>
      <c r="G99" s="13"/>
      <c r="H99" s="13"/>
    </row>
    <row r="100" spans="6:8" ht="13" x14ac:dyDescent="0.15">
      <c r="F100" s="13"/>
      <c r="G100" s="13"/>
      <c r="H100" s="13"/>
    </row>
    <row r="101" spans="6:8" ht="13" x14ac:dyDescent="0.15">
      <c r="F101" s="13"/>
      <c r="G101" s="13"/>
      <c r="H101" s="13"/>
    </row>
    <row r="102" spans="6:8" ht="13" x14ac:dyDescent="0.15">
      <c r="F102" s="13"/>
      <c r="G102" s="13"/>
      <c r="H102" s="13"/>
    </row>
    <row r="103" spans="6:8" ht="13" x14ac:dyDescent="0.15">
      <c r="F103" s="13"/>
      <c r="G103" s="13"/>
      <c r="H103" s="13"/>
    </row>
    <row r="104" spans="6:8" ht="13" x14ac:dyDescent="0.15">
      <c r="F104" s="13"/>
      <c r="G104" s="13"/>
      <c r="H104" s="13"/>
    </row>
    <row r="105" spans="6:8" ht="13" x14ac:dyDescent="0.15">
      <c r="F105" s="13"/>
      <c r="G105" s="13"/>
      <c r="H105" s="13"/>
    </row>
    <row r="106" spans="6:8" ht="13" x14ac:dyDescent="0.15">
      <c r="F106" s="13"/>
      <c r="G106" s="13"/>
      <c r="H106" s="13"/>
    </row>
    <row r="107" spans="6:8" ht="13" x14ac:dyDescent="0.15">
      <c r="F107" s="13"/>
      <c r="G107" s="13"/>
      <c r="H107" s="13"/>
    </row>
    <row r="108" spans="6:8" ht="13" x14ac:dyDescent="0.15">
      <c r="F108" s="13"/>
      <c r="G108" s="13"/>
      <c r="H108" s="13"/>
    </row>
    <row r="109" spans="6:8" ht="13" x14ac:dyDescent="0.15">
      <c r="F109" s="13"/>
      <c r="G109" s="13"/>
      <c r="H109" s="13"/>
    </row>
    <row r="110" spans="6:8" ht="13" x14ac:dyDescent="0.15">
      <c r="F110" s="13"/>
      <c r="G110" s="13"/>
      <c r="H110" s="13"/>
    </row>
    <row r="111" spans="6:8" ht="13" x14ac:dyDescent="0.15">
      <c r="F111" s="13"/>
      <c r="G111" s="13"/>
      <c r="H111" s="13"/>
    </row>
    <row r="112" spans="6:8" ht="13" x14ac:dyDescent="0.15">
      <c r="F112" s="13"/>
      <c r="G112" s="13"/>
      <c r="H112" s="13"/>
    </row>
    <row r="113" spans="6:8" ht="13" x14ac:dyDescent="0.15">
      <c r="F113" s="13"/>
      <c r="G113" s="13"/>
      <c r="H113" s="13"/>
    </row>
    <row r="114" spans="6:8" ht="13" x14ac:dyDescent="0.15">
      <c r="F114" s="13"/>
      <c r="G114" s="13"/>
      <c r="H114" s="13"/>
    </row>
    <row r="115" spans="6:8" ht="13" x14ac:dyDescent="0.15">
      <c r="F115" s="13"/>
      <c r="G115" s="13"/>
      <c r="H115" s="13"/>
    </row>
    <row r="116" spans="6:8" ht="13" x14ac:dyDescent="0.15">
      <c r="F116" s="13"/>
      <c r="G116" s="13"/>
      <c r="H116" s="13"/>
    </row>
    <row r="117" spans="6:8" ht="13" x14ac:dyDescent="0.15">
      <c r="F117" s="13"/>
      <c r="G117" s="13"/>
      <c r="H117" s="13"/>
    </row>
    <row r="118" spans="6:8" ht="13" x14ac:dyDescent="0.15">
      <c r="F118" s="13"/>
      <c r="G118" s="13"/>
      <c r="H118" s="13"/>
    </row>
    <row r="119" spans="6:8" ht="13" x14ac:dyDescent="0.15">
      <c r="F119" s="13"/>
      <c r="G119" s="13"/>
      <c r="H119" s="13"/>
    </row>
    <row r="120" spans="6:8" ht="13" x14ac:dyDescent="0.15">
      <c r="F120" s="13"/>
      <c r="G120" s="13"/>
      <c r="H120" s="13"/>
    </row>
    <row r="121" spans="6:8" ht="13" x14ac:dyDescent="0.15">
      <c r="F121" s="13"/>
      <c r="G121" s="13"/>
      <c r="H121" s="13"/>
    </row>
    <row r="122" spans="6:8" ht="13" x14ac:dyDescent="0.15">
      <c r="F122" s="13"/>
      <c r="G122" s="13"/>
      <c r="H122" s="13"/>
    </row>
    <row r="123" spans="6:8" ht="13" x14ac:dyDescent="0.15">
      <c r="F123" s="13"/>
      <c r="G123" s="13"/>
      <c r="H123" s="13"/>
    </row>
    <row r="124" spans="6:8" ht="13" x14ac:dyDescent="0.15">
      <c r="F124" s="13"/>
      <c r="G124" s="13"/>
      <c r="H124" s="13"/>
    </row>
    <row r="125" spans="6:8" ht="13" x14ac:dyDescent="0.15">
      <c r="F125" s="13"/>
      <c r="G125" s="13"/>
      <c r="H125" s="13"/>
    </row>
    <row r="126" spans="6:8" ht="13" x14ac:dyDescent="0.15">
      <c r="F126" s="13"/>
      <c r="G126" s="13"/>
      <c r="H126" s="13"/>
    </row>
    <row r="127" spans="6:8" ht="13" x14ac:dyDescent="0.15">
      <c r="F127" s="13"/>
      <c r="G127" s="13"/>
      <c r="H127" s="13"/>
    </row>
    <row r="128" spans="6:8" ht="13" x14ac:dyDescent="0.15">
      <c r="F128" s="13"/>
      <c r="G128" s="13"/>
      <c r="H128" s="13"/>
    </row>
    <row r="129" spans="6:8" ht="13" x14ac:dyDescent="0.15">
      <c r="F129" s="13"/>
      <c r="G129" s="13"/>
      <c r="H129" s="13"/>
    </row>
    <row r="130" spans="6:8" ht="13" x14ac:dyDescent="0.15">
      <c r="F130" s="13"/>
      <c r="G130" s="13"/>
      <c r="H130" s="13"/>
    </row>
    <row r="131" spans="6:8" ht="13" x14ac:dyDescent="0.15">
      <c r="F131" s="13"/>
      <c r="G131" s="13"/>
      <c r="H131" s="13"/>
    </row>
    <row r="132" spans="6:8" ht="13" x14ac:dyDescent="0.15">
      <c r="F132" s="13"/>
      <c r="G132" s="13"/>
      <c r="H132" s="13"/>
    </row>
    <row r="133" spans="6:8" ht="13" x14ac:dyDescent="0.15">
      <c r="F133" s="13"/>
      <c r="G133" s="13"/>
      <c r="H133" s="13"/>
    </row>
    <row r="134" spans="6:8" ht="13" x14ac:dyDescent="0.15">
      <c r="F134" s="13"/>
      <c r="G134" s="13"/>
      <c r="H134" s="13"/>
    </row>
    <row r="135" spans="6:8" ht="13" x14ac:dyDescent="0.15">
      <c r="F135" s="13"/>
      <c r="G135" s="13"/>
      <c r="H135" s="13"/>
    </row>
    <row r="136" spans="6:8" ht="13" x14ac:dyDescent="0.15">
      <c r="F136" s="13"/>
      <c r="G136" s="13"/>
      <c r="H136" s="13"/>
    </row>
    <row r="137" spans="6:8" ht="13" x14ac:dyDescent="0.15">
      <c r="F137" s="13"/>
      <c r="G137" s="13"/>
      <c r="H137" s="13"/>
    </row>
    <row r="138" spans="6:8" ht="13" x14ac:dyDescent="0.15">
      <c r="F138" s="13"/>
      <c r="G138" s="13"/>
      <c r="H138" s="13"/>
    </row>
    <row r="139" spans="6:8" ht="13" x14ac:dyDescent="0.15">
      <c r="F139" s="13"/>
      <c r="G139" s="13"/>
      <c r="H139" s="13"/>
    </row>
    <row r="140" spans="6:8" ht="13" x14ac:dyDescent="0.15">
      <c r="F140" s="13"/>
      <c r="G140" s="13"/>
      <c r="H140" s="13"/>
    </row>
    <row r="141" spans="6:8" ht="13" x14ac:dyDescent="0.15">
      <c r="F141" s="13"/>
      <c r="G141" s="13"/>
      <c r="H141" s="13"/>
    </row>
    <row r="142" spans="6:8" ht="13" x14ac:dyDescent="0.15">
      <c r="F142" s="13"/>
      <c r="G142" s="13"/>
      <c r="H142" s="13"/>
    </row>
    <row r="143" spans="6:8" ht="13" x14ac:dyDescent="0.15">
      <c r="F143" s="13"/>
      <c r="G143" s="13"/>
      <c r="H143" s="13"/>
    </row>
    <row r="144" spans="6:8" ht="13" x14ac:dyDescent="0.15">
      <c r="F144" s="13"/>
      <c r="G144" s="13"/>
      <c r="H144" s="13"/>
    </row>
    <row r="145" spans="6:8" ht="13" x14ac:dyDescent="0.15">
      <c r="F145" s="13"/>
      <c r="G145" s="13"/>
      <c r="H145" s="13"/>
    </row>
    <row r="146" spans="6:8" ht="13" x14ac:dyDescent="0.15">
      <c r="F146" s="13"/>
      <c r="G146" s="13"/>
      <c r="H146" s="13"/>
    </row>
    <row r="147" spans="6:8" ht="13" x14ac:dyDescent="0.15">
      <c r="F147" s="13"/>
      <c r="G147" s="13"/>
      <c r="H147" s="13"/>
    </row>
    <row r="148" spans="6:8" ht="13" x14ac:dyDescent="0.15">
      <c r="F148" s="13"/>
      <c r="G148" s="13"/>
      <c r="H148" s="13"/>
    </row>
    <row r="149" spans="6:8" ht="13" x14ac:dyDescent="0.15">
      <c r="F149" s="13"/>
      <c r="G149" s="13"/>
      <c r="H149" s="13"/>
    </row>
    <row r="150" spans="6:8" ht="13" x14ac:dyDescent="0.15">
      <c r="F150" s="13"/>
      <c r="G150" s="13"/>
      <c r="H150" s="13"/>
    </row>
    <row r="151" spans="6:8" ht="13" x14ac:dyDescent="0.15">
      <c r="F151" s="13"/>
      <c r="G151" s="13"/>
      <c r="H151" s="13"/>
    </row>
    <row r="152" spans="6:8" ht="13" x14ac:dyDescent="0.15">
      <c r="F152" s="13"/>
      <c r="G152" s="13"/>
      <c r="H152" s="13"/>
    </row>
    <row r="153" spans="6:8" ht="13" x14ac:dyDescent="0.15">
      <c r="F153" s="13"/>
      <c r="G153" s="13"/>
      <c r="H153" s="13"/>
    </row>
    <row r="154" spans="6:8" ht="13" x14ac:dyDescent="0.15">
      <c r="F154" s="13"/>
      <c r="G154" s="13"/>
      <c r="H154" s="13"/>
    </row>
    <row r="155" spans="6:8" ht="13" x14ac:dyDescent="0.15">
      <c r="F155" s="13"/>
      <c r="G155" s="13"/>
      <c r="H155" s="13"/>
    </row>
    <row r="156" spans="6:8" ht="13" x14ac:dyDescent="0.15">
      <c r="F156" s="13"/>
      <c r="G156" s="13"/>
      <c r="H156" s="13"/>
    </row>
    <row r="157" spans="6:8" ht="13" x14ac:dyDescent="0.15">
      <c r="F157" s="13"/>
      <c r="G157" s="13"/>
      <c r="H157" s="13"/>
    </row>
    <row r="158" spans="6:8" ht="13" x14ac:dyDescent="0.15">
      <c r="F158" s="13"/>
      <c r="G158" s="13"/>
      <c r="H158" s="13"/>
    </row>
    <row r="159" spans="6:8" ht="13" x14ac:dyDescent="0.15">
      <c r="F159" s="13"/>
      <c r="G159" s="13"/>
      <c r="H159" s="13"/>
    </row>
    <row r="160" spans="6:8" ht="13" x14ac:dyDescent="0.15">
      <c r="F160" s="13"/>
      <c r="G160" s="13"/>
      <c r="H160" s="13"/>
    </row>
    <row r="161" spans="6:8" ht="13" x14ac:dyDescent="0.15">
      <c r="F161" s="13"/>
      <c r="G161" s="13"/>
      <c r="H161" s="13"/>
    </row>
    <row r="162" spans="6:8" ht="13" x14ac:dyDescent="0.15">
      <c r="F162" s="13"/>
      <c r="G162" s="13"/>
      <c r="H162" s="13"/>
    </row>
    <row r="163" spans="6:8" ht="13" x14ac:dyDescent="0.15">
      <c r="F163" s="13"/>
      <c r="G163" s="13"/>
      <c r="H163" s="13"/>
    </row>
    <row r="164" spans="6:8" ht="13" x14ac:dyDescent="0.15">
      <c r="F164" s="13"/>
      <c r="G164" s="13"/>
      <c r="H164" s="13"/>
    </row>
    <row r="165" spans="6:8" ht="13" x14ac:dyDescent="0.15">
      <c r="F165" s="13"/>
      <c r="G165" s="13"/>
      <c r="H165" s="13"/>
    </row>
    <row r="166" spans="6:8" ht="13" x14ac:dyDescent="0.15">
      <c r="F166" s="13"/>
      <c r="G166" s="13"/>
      <c r="H166" s="13"/>
    </row>
    <row r="167" spans="6:8" ht="13" x14ac:dyDescent="0.15">
      <c r="F167" s="13"/>
      <c r="G167" s="13"/>
      <c r="H167" s="13"/>
    </row>
    <row r="168" spans="6:8" ht="13" x14ac:dyDescent="0.15">
      <c r="F168" s="13"/>
      <c r="G168" s="13"/>
      <c r="H168" s="13"/>
    </row>
    <row r="169" spans="6:8" ht="13" x14ac:dyDescent="0.15">
      <c r="F169" s="13"/>
      <c r="G169" s="13"/>
      <c r="H169" s="13"/>
    </row>
    <row r="170" spans="6:8" ht="13" x14ac:dyDescent="0.15">
      <c r="F170" s="13"/>
      <c r="G170" s="13"/>
      <c r="H170" s="13"/>
    </row>
    <row r="171" spans="6:8" ht="13" x14ac:dyDescent="0.15">
      <c r="F171" s="13"/>
      <c r="G171" s="13"/>
      <c r="H171" s="13"/>
    </row>
    <row r="172" spans="6:8" ht="13" x14ac:dyDescent="0.15">
      <c r="F172" s="13"/>
      <c r="G172" s="13"/>
      <c r="H172" s="13"/>
    </row>
    <row r="173" spans="6:8" ht="13" x14ac:dyDescent="0.15">
      <c r="F173" s="13"/>
      <c r="G173" s="13"/>
      <c r="H173" s="13"/>
    </row>
    <row r="174" spans="6:8" ht="13" x14ac:dyDescent="0.15">
      <c r="F174" s="13"/>
      <c r="G174" s="13"/>
      <c r="H174" s="13"/>
    </row>
    <row r="175" spans="6:8" ht="13" x14ac:dyDescent="0.15">
      <c r="F175" s="13"/>
      <c r="G175" s="13"/>
      <c r="H175" s="13"/>
    </row>
    <row r="176" spans="6:8" ht="13" x14ac:dyDescent="0.15">
      <c r="F176" s="13"/>
      <c r="G176" s="13"/>
      <c r="H176" s="13"/>
    </row>
    <row r="177" spans="6:8" ht="13" x14ac:dyDescent="0.15">
      <c r="F177" s="13"/>
      <c r="G177" s="13"/>
      <c r="H177" s="13"/>
    </row>
    <row r="178" spans="6:8" ht="13" x14ac:dyDescent="0.15">
      <c r="F178" s="13"/>
      <c r="G178" s="13"/>
      <c r="H178" s="13"/>
    </row>
    <row r="179" spans="6:8" ht="13" x14ac:dyDescent="0.15">
      <c r="F179" s="13"/>
      <c r="G179" s="13"/>
      <c r="H179" s="13"/>
    </row>
    <row r="180" spans="6:8" ht="13" x14ac:dyDescent="0.15">
      <c r="F180" s="13"/>
      <c r="G180" s="13"/>
      <c r="H180" s="13"/>
    </row>
    <row r="181" spans="6:8" ht="13" x14ac:dyDescent="0.15">
      <c r="F181" s="13"/>
      <c r="G181" s="13"/>
      <c r="H181" s="13"/>
    </row>
    <row r="182" spans="6:8" ht="13" x14ac:dyDescent="0.15">
      <c r="F182" s="13"/>
      <c r="G182" s="13"/>
      <c r="H182" s="13"/>
    </row>
    <row r="183" spans="6:8" ht="13" x14ac:dyDescent="0.15">
      <c r="F183" s="13"/>
      <c r="G183" s="13"/>
      <c r="H183" s="13"/>
    </row>
    <row r="184" spans="6:8" ht="13" x14ac:dyDescent="0.15">
      <c r="F184" s="13"/>
      <c r="G184" s="13"/>
      <c r="H184" s="13"/>
    </row>
    <row r="185" spans="6:8" ht="13" x14ac:dyDescent="0.15">
      <c r="F185" s="13"/>
      <c r="G185" s="13"/>
      <c r="H185" s="13"/>
    </row>
    <row r="186" spans="6:8" ht="13" x14ac:dyDescent="0.15">
      <c r="F186" s="13"/>
      <c r="G186" s="13"/>
      <c r="H186" s="13"/>
    </row>
    <row r="187" spans="6:8" ht="13" x14ac:dyDescent="0.15">
      <c r="F187" s="13"/>
      <c r="G187" s="13"/>
      <c r="H187" s="13"/>
    </row>
    <row r="188" spans="6:8" ht="13" x14ac:dyDescent="0.15">
      <c r="F188" s="13"/>
      <c r="G188" s="13"/>
      <c r="H188" s="13"/>
    </row>
    <row r="189" spans="6:8" ht="13" x14ac:dyDescent="0.15">
      <c r="F189" s="13"/>
      <c r="G189" s="13"/>
      <c r="H189" s="13"/>
    </row>
    <row r="190" spans="6:8" ht="13" x14ac:dyDescent="0.15">
      <c r="F190" s="13"/>
      <c r="G190" s="13"/>
      <c r="H190" s="13"/>
    </row>
    <row r="191" spans="6:8" ht="13" x14ac:dyDescent="0.15">
      <c r="F191" s="13"/>
      <c r="G191" s="13"/>
      <c r="H191" s="13"/>
    </row>
    <row r="192" spans="6:8" ht="13" x14ac:dyDescent="0.15">
      <c r="F192" s="13"/>
      <c r="G192" s="13"/>
      <c r="H192" s="13"/>
    </row>
    <row r="193" spans="6:8" ht="13" x14ac:dyDescent="0.15">
      <c r="F193" s="13"/>
      <c r="G193" s="13"/>
      <c r="H193" s="13"/>
    </row>
    <row r="194" spans="6:8" ht="13" x14ac:dyDescent="0.15">
      <c r="F194" s="13"/>
      <c r="G194" s="13"/>
      <c r="H194" s="13"/>
    </row>
    <row r="195" spans="6:8" ht="13" x14ac:dyDescent="0.15">
      <c r="F195" s="13"/>
      <c r="G195" s="13"/>
      <c r="H195" s="13"/>
    </row>
    <row r="196" spans="6:8" ht="13" x14ac:dyDescent="0.15">
      <c r="F196" s="13"/>
      <c r="G196" s="13"/>
      <c r="H196" s="13"/>
    </row>
    <row r="197" spans="6:8" ht="13" x14ac:dyDescent="0.15">
      <c r="F197" s="13"/>
      <c r="G197" s="13"/>
      <c r="H197" s="13"/>
    </row>
    <row r="198" spans="6:8" ht="13" x14ac:dyDescent="0.15">
      <c r="F198" s="13"/>
      <c r="G198" s="13"/>
      <c r="H198" s="13"/>
    </row>
    <row r="199" spans="6:8" ht="13" x14ac:dyDescent="0.15">
      <c r="F199" s="13"/>
      <c r="G199" s="13"/>
      <c r="H199" s="13"/>
    </row>
    <row r="200" spans="6:8" ht="13" x14ac:dyDescent="0.15">
      <c r="F200" s="13"/>
      <c r="G200" s="13"/>
      <c r="H200" s="13"/>
    </row>
    <row r="201" spans="6:8" ht="13" x14ac:dyDescent="0.15">
      <c r="F201" s="13"/>
      <c r="G201" s="13"/>
      <c r="H201" s="13"/>
    </row>
    <row r="202" spans="6:8" ht="13" x14ac:dyDescent="0.15">
      <c r="F202" s="13"/>
      <c r="G202" s="13"/>
      <c r="H202" s="13"/>
    </row>
    <row r="203" spans="6:8" ht="13" x14ac:dyDescent="0.15">
      <c r="F203" s="13"/>
      <c r="G203" s="13"/>
      <c r="H203" s="13"/>
    </row>
    <row r="204" spans="6:8" ht="13" x14ac:dyDescent="0.15">
      <c r="F204" s="13"/>
      <c r="G204" s="13"/>
      <c r="H204" s="13"/>
    </row>
    <row r="205" spans="6:8" ht="13" x14ac:dyDescent="0.15">
      <c r="F205" s="13"/>
      <c r="G205" s="13"/>
      <c r="H205" s="13"/>
    </row>
    <row r="206" spans="6:8" ht="13" x14ac:dyDescent="0.15">
      <c r="F206" s="13"/>
      <c r="G206" s="13"/>
      <c r="H206" s="13"/>
    </row>
    <row r="207" spans="6:8" ht="13" x14ac:dyDescent="0.15">
      <c r="F207" s="13"/>
      <c r="G207" s="13"/>
      <c r="H207" s="13"/>
    </row>
    <row r="208" spans="6:8" ht="13" x14ac:dyDescent="0.15">
      <c r="F208" s="13"/>
      <c r="G208" s="13"/>
      <c r="H208" s="13"/>
    </row>
    <row r="209" spans="6:8" ht="13" x14ac:dyDescent="0.15">
      <c r="F209" s="13"/>
      <c r="G209" s="13"/>
      <c r="H209" s="13"/>
    </row>
    <row r="210" spans="6:8" ht="13" x14ac:dyDescent="0.15">
      <c r="F210" s="13"/>
      <c r="G210" s="13"/>
      <c r="H210" s="13"/>
    </row>
    <row r="211" spans="6:8" ht="13" x14ac:dyDescent="0.15">
      <c r="F211" s="13"/>
      <c r="G211" s="13"/>
      <c r="H211" s="13"/>
    </row>
    <row r="212" spans="6:8" ht="13" x14ac:dyDescent="0.15">
      <c r="F212" s="13"/>
      <c r="G212" s="13"/>
      <c r="H212" s="13"/>
    </row>
    <row r="213" spans="6:8" ht="13" x14ac:dyDescent="0.15">
      <c r="F213" s="13"/>
      <c r="G213" s="13"/>
      <c r="H213" s="13"/>
    </row>
    <row r="214" spans="6:8" ht="13" x14ac:dyDescent="0.15">
      <c r="F214" s="13"/>
      <c r="G214" s="13"/>
      <c r="H214" s="13"/>
    </row>
    <row r="215" spans="6:8" ht="13" x14ac:dyDescent="0.15">
      <c r="F215" s="13"/>
      <c r="G215" s="13"/>
      <c r="H215" s="13"/>
    </row>
    <row r="216" spans="6:8" ht="13" x14ac:dyDescent="0.15">
      <c r="F216" s="13"/>
      <c r="G216" s="13"/>
      <c r="H216" s="13"/>
    </row>
    <row r="217" spans="6:8" ht="13" x14ac:dyDescent="0.15">
      <c r="F217" s="13"/>
      <c r="G217" s="13"/>
      <c r="H217" s="13"/>
    </row>
    <row r="218" spans="6:8" ht="13" x14ac:dyDescent="0.15">
      <c r="F218" s="13"/>
      <c r="G218" s="13"/>
      <c r="H218" s="13"/>
    </row>
    <row r="219" spans="6:8" ht="13" x14ac:dyDescent="0.15">
      <c r="F219" s="13"/>
      <c r="G219" s="13"/>
      <c r="H219" s="13"/>
    </row>
    <row r="220" spans="6:8" ht="13" x14ac:dyDescent="0.15">
      <c r="F220" s="13"/>
      <c r="G220" s="13"/>
      <c r="H220" s="13"/>
    </row>
    <row r="221" spans="6:8" ht="13" x14ac:dyDescent="0.15">
      <c r="F221" s="13"/>
      <c r="G221" s="13"/>
      <c r="H221" s="13"/>
    </row>
    <row r="222" spans="6:8" ht="13" x14ac:dyDescent="0.15">
      <c r="F222" s="13"/>
      <c r="G222" s="13"/>
      <c r="H222" s="13"/>
    </row>
    <row r="223" spans="6:8" ht="13" x14ac:dyDescent="0.15">
      <c r="F223" s="13"/>
      <c r="G223" s="13"/>
      <c r="H223" s="13"/>
    </row>
    <row r="224" spans="6:8" ht="13" x14ac:dyDescent="0.15">
      <c r="F224" s="13"/>
      <c r="G224" s="13"/>
      <c r="H224" s="13"/>
    </row>
    <row r="225" spans="6:8" ht="13" x14ac:dyDescent="0.15">
      <c r="F225" s="13"/>
      <c r="G225" s="13"/>
      <c r="H225" s="13"/>
    </row>
    <row r="226" spans="6:8" ht="13" x14ac:dyDescent="0.15">
      <c r="F226" s="13"/>
      <c r="G226" s="13"/>
      <c r="H226" s="13"/>
    </row>
    <row r="227" spans="6:8" ht="13" x14ac:dyDescent="0.15">
      <c r="F227" s="13"/>
      <c r="G227" s="13"/>
      <c r="H227" s="13"/>
    </row>
    <row r="228" spans="6:8" ht="13" x14ac:dyDescent="0.15">
      <c r="F228" s="13"/>
      <c r="G228" s="13"/>
      <c r="H228" s="13"/>
    </row>
    <row r="229" spans="6:8" ht="13" x14ac:dyDescent="0.15">
      <c r="F229" s="13"/>
      <c r="G229" s="13"/>
      <c r="H229" s="13"/>
    </row>
    <row r="230" spans="6:8" ht="13" x14ac:dyDescent="0.15">
      <c r="F230" s="13"/>
      <c r="G230" s="13"/>
      <c r="H230" s="13"/>
    </row>
    <row r="231" spans="6:8" ht="13" x14ac:dyDescent="0.15">
      <c r="F231" s="13"/>
      <c r="G231" s="13"/>
      <c r="H231" s="13"/>
    </row>
    <row r="232" spans="6:8" ht="13" x14ac:dyDescent="0.15">
      <c r="F232" s="13"/>
      <c r="G232" s="13"/>
      <c r="H232" s="13"/>
    </row>
    <row r="233" spans="6:8" ht="13" x14ac:dyDescent="0.15">
      <c r="F233" s="13"/>
      <c r="G233" s="13"/>
      <c r="H233" s="13"/>
    </row>
    <row r="234" spans="6:8" ht="13" x14ac:dyDescent="0.15">
      <c r="F234" s="13"/>
      <c r="G234" s="13"/>
      <c r="H234" s="13"/>
    </row>
    <row r="235" spans="6:8" ht="13" x14ac:dyDescent="0.15">
      <c r="F235" s="13"/>
      <c r="G235" s="13"/>
      <c r="H235" s="13"/>
    </row>
    <row r="236" spans="6:8" ht="13" x14ac:dyDescent="0.15">
      <c r="F236" s="13"/>
      <c r="G236" s="13"/>
      <c r="H236" s="13"/>
    </row>
    <row r="237" spans="6:8" ht="13" x14ac:dyDescent="0.15">
      <c r="F237" s="13"/>
      <c r="G237" s="13"/>
      <c r="H237" s="13"/>
    </row>
    <row r="238" spans="6:8" ht="13" x14ac:dyDescent="0.15">
      <c r="F238" s="13"/>
      <c r="G238" s="13"/>
      <c r="H238" s="13"/>
    </row>
    <row r="239" spans="6:8" ht="13" x14ac:dyDescent="0.15">
      <c r="F239" s="13"/>
      <c r="G239" s="13"/>
      <c r="H239" s="13"/>
    </row>
    <row r="240" spans="6:8" ht="13" x14ac:dyDescent="0.15">
      <c r="F240" s="13"/>
      <c r="G240" s="13"/>
      <c r="H240" s="13"/>
    </row>
    <row r="241" spans="6:8" ht="13" x14ac:dyDescent="0.15">
      <c r="F241" s="13"/>
      <c r="G241" s="13"/>
      <c r="H241" s="13"/>
    </row>
    <row r="242" spans="6:8" ht="13" x14ac:dyDescent="0.15">
      <c r="F242" s="13"/>
      <c r="G242" s="13"/>
      <c r="H242" s="13"/>
    </row>
    <row r="243" spans="6:8" ht="13" x14ac:dyDescent="0.15">
      <c r="F243" s="13"/>
      <c r="G243" s="13"/>
      <c r="H243" s="13"/>
    </row>
    <row r="244" spans="6:8" ht="13" x14ac:dyDescent="0.15">
      <c r="F244" s="13"/>
      <c r="G244" s="13"/>
      <c r="H244" s="13"/>
    </row>
    <row r="245" spans="6:8" ht="13" x14ac:dyDescent="0.15">
      <c r="F245" s="13"/>
      <c r="G245" s="13"/>
      <c r="H245" s="13"/>
    </row>
    <row r="246" spans="6:8" ht="13" x14ac:dyDescent="0.15">
      <c r="F246" s="13"/>
      <c r="G246" s="13"/>
      <c r="H246" s="13"/>
    </row>
    <row r="247" spans="6:8" ht="13" x14ac:dyDescent="0.15">
      <c r="F247" s="13"/>
      <c r="G247" s="13"/>
      <c r="H247" s="13"/>
    </row>
    <row r="248" spans="6:8" ht="13" x14ac:dyDescent="0.15">
      <c r="F248" s="13"/>
      <c r="G248" s="13"/>
      <c r="H248" s="13"/>
    </row>
    <row r="249" spans="6:8" ht="13" x14ac:dyDescent="0.15">
      <c r="F249" s="13"/>
      <c r="G249" s="13"/>
      <c r="H249" s="13"/>
    </row>
    <row r="250" spans="6:8" ht="13" x14ac:dyDescent="0.15">
      <c r="F250" s="13"/>
      <c r="G250" s="13"/>
      <c r="H250" s="13"/>
    </row>
    <row r="251" spans="6:8" ht="13" x14ac:dyDescent="0.15">
      <c r="F251" s="13"/>
      <c r="G251" s="13"/>
      <c r="H251" s="13"/>
    </row>
    <row r="252" spans="6:8" ht="13" x14ac:dyDescent="0.15">
      <c r="F252" s="13"/>
      <c r="G252" s="13"/>
      <c r="H252" s="13"/>
    </row>
    <row r="253" spans="6:8" ht="13" x14ac:dyDescent="0.15">
      <c r="F253" s="13"/>
      <c r="G253" s="13"/>
      <c r="H253" s="13"/>
    </row>
    <row r="254" spans="6:8" ht="13" x14ac:dyDescent="0.15">
      <c r="F254" s="13"/>
      <c r="G254" s="13"/>
      <c r="H254" s="13"/>
    </row>
    <row r="255" spans="6:8" ht="13" x14ac:dyDescent="0.15">
      <c r="F255" s="13"/>
      <c r="G255" s="13"/>
      <c r="H255" s="13"/>
    </row>
    <row r="256" spans="6:8" ht="13" x14ac:dyDescent="0.15">
      <c r="F256" s="13"/>
      <c r="G256" s="13"/>
      <c r="H256" s="13"/>
    </row>
    <row r="257" spans="6:8" ht="13" x14ac:dyDescent="0.15">
      <c r="F257" s="13"/>
      <c r="G257" s="13"/>
      <c r="H257" s="13"/>
    </row>
    <row r="258" spans="6:8" ht="13" x14ac:dyDescent="0.15">
      <c r="F258" s="13"/>
      <c r="G258" s="13"/>
      <c r="H258" s="13"/>
    </row>
    <row r="259" spans="6:8" ht="13" x14ac:dyDescent="0.15">
      <c r="F259" s="13"/>
      <c r="G259" s="13"/>
      <c r="H259" s="13"/>
    </row>
    <row r="260" spans="6:8" ht="13" x14ac:dyDescent="0.15">
      <c r="F260" s="13"/>
      <c r="G260" s="13"/>
      <c r="H260" s="13"/>
    </row>
    <row r="261" spans="6:8" ht="13" x14ac:dyDescent="0.15">
      <c r="F261" s="13"/>
      <c r="G261" s="13"/>
      <c r="H261" s="13"/>
    </row>
    <row r="262" spans="6:8" ht="13" x14ac:dyDescent="0.15">
      <c r="F262" s="13"/>
      <c r="G262" s="13"/>
      <c r="H262" s="13"/>
    </row>
    <row r="263" spans="6:8" ht="13" x14ac:dyDescent="0.15">
      <c r="F263" s="13"/>
      <c r="G263" s="13"/>
      <c r="H263" s="13"/>
    </row>
    <row r="264" spans="6:8" ht="13" x14ac:dyDescent="0.15">
      <c r="F264" s="13"/>
      <c r="G264" s="13"/>
      <c r="H264" s="13"/>
    </row>
    <row r="265" spans="6:8" ht="13" x14ac:dyDescent="0.15">
      <c r="F265" s="13"/>
      <c r="G265" s="13"/>
      <c r="H265" s="13"/>
    </row>
    <row r="266" spans="6:8" ht="13" x14ac:dyDescent="0.15">
      <c r="F266" s="13"/>
      <c r="G266" s="13"/>
      <c r="H266" s="13"/>
    </row>
    <row r="267" spans="6:8" ht="13" x14ac:dyDescent="0.15">
      <c r="F267" s="13"/>
      <c r="G267" s="13"/>
      <c r="H267" s="13"/>
    </row>
    <row r="268" spans="6:8" ht="13" x14ac:dyDescent="0.15">
      <c r="F268" s="13"/>
      <c r="G268" s="13"/>
      <c r="H268" s="13"/>
    </row>
    <row r="269" spans="6:8" ht="13" x14ac:dyDescent="0.15">
      <c r="F269" s="13"/>
      <c r="G269" s="13"/>
      <c r="H269" s="13"/>
    </row>
    <row r="270" spans="6:8" ht="13" x14ac:dyDescent="0.15">
      <c r="F270" s="13"/>
      <c r="G270" s="13"/>
      <c r="H270" s="13"/>
    </row>
    <row r="271" spans="6:8" ht="13" x14ac:dyDescent="0.15">
      <c r="F271" s="13"/>
      <c r="G271" s="13"/>
      <c r="H271" s="13"/>
    </row>
    <row r="272" spans="6:8" ht="13" x14ac:dyDescent="0.15">
      <c r="F272" s="13"/>
      <c r="G272" s="13"/>
      <c r="H272" s="13"/>
    </row>
    <row r="273" spans="6:8" ht="13" x14ac:dyDescent="0.15">
      <c r="F273" s="13"/>
      <c r="G273" s="13"/>
      <c r="H273" s="13"/>
    </row>
    <row r="274" spans="6:8" ht="13" x14ac:dyDescent="0.15">
      <c r="F274" s="13"/>
      <c r="G274" s="13"/>
      <c r="H274" s="13"/>
    </row>
    <row r="275" spans="6:8" ht="13" x14ac:dyDescent="0.15">
      <c r="F275" s="13"/>
      <c r="G275" s="13"/>
      <c r="H275" s="13"/>
    </row>
    <row r="276" spans="6:8" ht="13" x14ac:dyDescent="0.15">
      <c r="F276" s="13"/>
      <c r="G276" s="13"/>
      <c r="H276" s="13"/>
    </row>
    <row r="277" spans="6:8" ht="13" x14ac:dyDescent="0.15">
      <c r="F277" s="13"/>
      <c r="G277" s="13"/>
      <c r="H277" s="13"/>
    </row>
    <row r="278" spans="6:8" ht="13" x14ac:dyDescent="0.15">
      <c r="F278" s="13"/>
      <c r="G278" s="13"/>
      <c r="H278" s="13"/>
    </row>
    <row r="279" spans="6:8" ht="13" x14ac:dyDescent="0.15">
      <c r="F279" s="13"/>
      <c r="G279" s="13"/>
      <c r="H279" s="13"/>
    </row>
    <row r="280" spans="6:8" ht="13" x14ac:dyDescent="0.15">
      <c r="F280" s="13"/>
      <c r="G280" s="13"/>
      <c r="H280" s="13"/>
    </row>
    <row r="281" spans="6:8" ht="13" x14ac:dyDescent="0.15">
      <c r="F281" s="13"/>
      <c r="G281" s="13"/>
      <c r="H281" s="13"/>
    </row>
    <row r="282" spans="6:8" ht="13" x14ac:dyDescent="0.15">
      <c r="F282" s="13"/>
      <c r="G282" s="13"/>
      <c r="H282" s="13"/>
    </row>
    <row r="283" spans="6:8" ht="13" x14ac:dyDescent="0.15">
      <c r="F283" s="13"/>
      <c r="G283" s="13"/>
      <c r="H283" s="13"/>
    </row>
    <row r="284" spans="6:8" ht="13" x14ac:dyDescent="0.15">
      <c r="F284" s="13"/>
      <c r="G284" s="13"/>
      <c r="H284" s="13"/>
    </row>
    <row r="285" spans="6:8" ht="13" x14ac:dyDescent="0.15">
      <c r="F285" s="13"/>
      <c r="G285" s="13"/>
      <c r="H285" s="13"/>
    </row>
    <row r="286" spans="6:8" ht="13" x14ac:dyDescent="0.15">
      <c r="F286" s="13"/>
      <c r="G286" s="13"/>
      <c r="H286" s="13"/>
    </row>
    <row r="287" spans="6:8" ht="13" x14ac:dyDescent="0.15">
      <c r="F287" s="13"/>
      <c r="G287" s="13"/>
      <c r="H287" s="13"/>
    </row>
    <row r="288" spans="6:8" ht="13" x14ac:dyDescent="0.15">
      <c r="F288" s="13"/>
      <c r="G288" s="13"/>
      <c r="H288" s="13"/>
    </row>
    <row r="289" spans="6:8" ht="13" x14ac:dyDescent="0.15">
      <c r="F289" s="13"/>
      <c r="G289" s="13"/>
      <c r="H289" s="13"/>
    </row>
    <row r="290" spans="6:8" ht="13" x14ac:dyDescent="0.15">
      <c r="F290" s="13"/>
      <c r="G290" s="13"/>
      <c r="H290" s="13"/>
    </row>
    <row r="291" spans="6:8" ht="13" x14ac:dyDescent="0.15">
      <c r="F291" s="13"/>
      <c r="G291" s="13"/>
      <c r="H291" s="13"/>
    </row>
    <row r="292" spans="6:8" ht="13" x14ac:dyDescent="0.15">
      <c r="F292" s="13"/>
      <c r="G292" s="13"/>
      <c r="H292" s="13"/>
    </row>
    <row r="293" spans="6:8" ht="13" x14ac:dyDescent="0.15">
      <c r="F293" s="13"/>
      <c r="G293" s="13"/>
      <c r="H293" s="13"/>
    </row>
    <row r="294" spans="6:8" ht="13" x14ac:dyDescent="0.15">
      <c r="F294" s="13"/>
      <c r="G294" s="13"/>
      <c r="H294" s="13"/>
    </row>
    <row r="295" spans="6:8" ht="13" x14ac:dyDescent="0.15">
      <c r="F295" s="13"/>
      <c r="G295" s="13"/>
      <c r="H295" s="13"/>
    </row>
    <row r="296" spans="6:8" ht="13" x14ac:dyDescent="0.15">
      <c r="F296" s="13"/>
      <c r="G296" s="13"/>
      <c r="H296" s="13"/>
    </row>
    <row r="297" spans="6:8" ht="13" x14ac:dyDescent="0.15">
      <c r="F297" s="13"/>
      <c r="G297" s="13"/>
      <c r="H297" s="13"/>
    </row>
    <row r="298" spans="6:8" ht="13" x14ac:dyDescent="0.15">
      <c r="F298" s="13"/>
      <c r="G298" s="13"/>
      <c r="H298" s="13"/>
    </row>
    <row r="299" spans="6:8" ht="13" x14ac:dyDescent="0.15">
      <c r="F299" s="13"/>
      <c r="G299" s="13"/>
      <c r="H299" s="13"/>
    </row>
    <row r="300" spans="6:8" ht="13" x14ac:dyDescent="0.15">
      <c r="F300" s="13"/>
      <c r="G300" s="13"/>
      <c r="H300" s="13"/>
    </row>
    <row r="301" spans="6:8" ht="13" x14ac:dyDescent="0.15">
      <c r="F301" s="13"/>
      <c r="G301" s="13"/>
      <c r="H301" s="13"/>
    </row>
    <row r="302" spans="6:8" ht="13" x14ac:dyDescent="0.15">
      <c r="F302" s="13"/>
      <c r="G302" s="13"/>
      <c r="H302" s="13"/>
    </row>
    <row r="303" spans="6:8" ht="13" x14ac:dyDescent="0.15">
      <c r="F303" s="13"/>
      <c r="G303" s="13"/>
      <c r="H303" s="13"/>
    </row>
    <row r="304" spans="6:8" ht="13" x14ac:dyDescent="0.15">
      <c r="F304" s="13"/>
      <c r="G304" s="13"/>
      <c r="H304" s="13"/>
    </row>
    <row r="305" spans="6:8" ht="13" x14ac:dyDescent="0.15">
      <c r="F305" s="13"/>
      <c r="G305" s="13"/>
      <c r="H305" s="13"/>
    </row>
    <row r="306" spans="6:8" ht="13" x14ac:dyDescent="0.15">
      <c r="F306" s="13"/>
      <c r="G306" s="13"/>
      <c r="H306" s="13"/>
    </row>
    <row r="307" spans="6:8" ht="13" x14ac:dyDescent="0.15">
      <c r="F307" s="13"/>
      <c r="G307" s="13"/>
      <c r="H307" s="13"/>
    </row>
    <row r="308" spans="6:8" ht="13" x14ac:dyDescent="0.15">
      <c r="F308" s="13"/>
      <c r="G308" s="13"/>
      <c r="H308" s="13"/>
    </row>
    <row r="309" spans="6:8" ht="13" x14ac:dyDescent="0.15">
      <c r="F309" s="13"/>
      <c r="G309" s="13"/>
      <c r="H309" s="13"/>
    </row>
    <row r="310" spans="6:8" ht="13" x14ac:dyDescent="0.15">
      <c r="F310" s="13"/>
      <c r="G310" s="13"/>
      <c r="H310" s="13"/>
    </row>
    <row r="311" spans="6:8" ht="13" x14ac:dyDescent="0.15">
      <c r="F311" s="13"/>
      <c r="G311" s="13"/>
      <c r="H311" s="13"/>
    </row>
    <row r="312" spans="6:8" ht="13" x14ac:dyDescent="0.15">
      <c r="F312" s="13"/>
      <c r="G312" s="13"/>
      <c r="H312" s="13"/>
    </row>
    <row r="313" spans="6:8" ht="13" x14ac:dyDescent="0.15">
      <c r="F313" s="13"/>
      <c r="G313" s="13"/>
      <c r="H313" s="13"/>
    </row>
    <row r="314" spans="6:8" ht="13" x14ac:dyDescent="0.15">
      <c r="F314" s="13"/>
      <c r="G314" s="13"/>
      <c r="H314" s="13"/>
    </row>
    <row r="315" spans="6:8" ht="13" x14ac:dyDescent="0.15">
      <c r="F315" s="13"/>
      <c r="G315" s="13"/>
      <c r="H315" s="13"/>
    </row>
    <row r="316" spans="6:8" ht="13" x14ac:dyDescent="0.15">
      <c r="F316" s="13"/>
      <c r="G316" s="13"/>
      <c r="H316" s="13"/>
    </row>
    <row r="317" spans="6:8" ht="13" x14ac:dyDescent="0.15">
      <c r="F317" s="13"/>
      <c r="G317" s="13"/>
      <c r="H317" s="13"/>
    </row>
    <row r="318" spans="6:8" ht="13" x14ac:dyDescent="0.15">
      <c r="F318" s="13"/>
      <c r="G318" s="13"/>
      <c r="H318" s="13"/>
    </row>
    <row r="319" spans="6:8" ht="13" x14ac:dyDescent="0.15">
      <c r="F319" s="13"/>
      <c r="G319" s="13"/>
      <c r="H319" s="13"/>
    </row>
    <row r="320" spans="6:8" ht="13" x14ac:dyDescent="0.15">
      <c r="F320" s="13"/>
      <c r="G320" s="13"/>
      <c r="H320" s="13"/>
    </row>
    <row r="321" spans="6:8" ht="13" x14ac:dyDescent="0.15">
      <c r="F321" s="13"/>
      <c r="G321" s="13"/>
      <c r="H321" s="13"/>
    </row>
    <row r="322" spans="6:8" ht="13" x14ac:dyDescent="0.15">
      <c r="F322" s="13"/>
      <c r="G322" s="13"/>
      <c r="H322" s="13"/>
    </row>
    <row r="323" spans="6:8" ht="13" x14ac:dyDescent="0.15">
      <c r="F323" s="13"/>
      <c r="G323" s="13"/>
      <c r="H323" s="13"/>
    </row>
    <row r="324" spans="6:8" ht="13" x14ac:dyDescent="0.15">
      <c r="F324" s="13"/>
      <c r="G324" s="13"/>
      <c r="H324" s="13"/>
    </row>
    <row r="325" spans="6:8" ht="13" x14ac:dyDescent="0.15">
      <c r="F325" s="13"/>
      <c r="G325" s="13"/>
      <c r="H325" s="13"/>
    </row>
    <row r="326" spans="6:8" ht="13" x14ac:dyDescent="0.15">
      <c r="F326" s="13"/>
      <c r="G326" s="13"/>
      <c r="H326" s="13"/>
    </row>
    <row r="327" spans="6:8" ht="13" x14ac:dyDescent="0.15">
      <c r="F327" s="13"/>
      <c r="G327" s="13"/>
      <c r="H327" s="13"/>
    </row>
    <row r="328" spans="6:8" ht="13" x14ac:dyDescent="0.15">
      <c r="F328" s="13"/>
      <c r="G328" s="13"/>
      <c r="H328" s="13"/>
    </row>
    <row r="329" spans="6:8" ht="13" x14ac:dyDescent="0.15">
      <c r="F329" s="13"/>
      <c r="G329" s="13"/>
      <c r="H329" s="13"/>
    </row>
    <row r="330" spans="6:8" ht="13" x14ac:dyDescent="0.15">
      <c r="F330" s="13"/>
      <c r="G330" s="13"/>
      <c r="H330" s="13"/>
    </row>
    <row r="331" spans="6:8" ht="13" x14ac:dyDescent="0.15">
      <c r="F331" s="13"/>
      <c r="G331" s="13"/>
      <c r="H331" s="13"/>
    </row>
    <row r="332" spans="6:8" ht="13" x14ac:dyDescent="0.15">
      <c r="F332" s="13"/>
      <c r="G332" s="13"/>
      <c r="H332" s="13"/>
    </row>
    <row r="333" spans="6:8" ht="13" x14ac:dyDescent="0.15">
      <c r="F333" s="13"/>
      <c r="G333" s="13"/>
      <c r="H333" s="13"/>
    </row>
    <row r="334" spans="6:8" ht="13" x14ac:dyDescent="0.15">
      <c r="F334" s="13"/>
      <c r="G334" s="13"/>
      <c r="H334" s="13"/>
    </row>
    <row r="335" spans="6:8" ht="13" x14ac:dyDescent="0.15">
      <c r="F335" s="13"/>
      <c r="G335" s="13"/>
      <c r="H335" s="13"/>
    </row>
    <row r="336" spans="6:8" ht="13" x14ac:dyDescent="0.15">
      <c r="F336" s="13"/>
      <c r="G336" s="13"/>
      <c r="H336" s="13"/>
    </row>
    <row r="337" spans="6:8" ht="13" x14ac:dyDescent="0.15">
      <c r="F337" s="13"/>
      <c r="G337" s="13"/>
      <c r="H337" s="13"/>
    </row>
    <row r="338" spans="6:8" ht="13" x14ac:dyDescent="0.15">
      <c r="F338" s="13"/>
      <c r="G338" s="13"/>
      <c r="H338" s="13"/>
    </row>
    <row r="339" spans="6:8" ht="13" x14ac:dyDescent="0.15">
      <c r="F339" s="13"/>
      <c r="G339" s="13"/>
      <c r="H339" s="13"/>
    </row>
    <row r="340" spans="6:8" ht="13" x14ac:dyDescent="0.15">
      <c r="F340" s="13"/>
      <c r="G340" s="13"/>
      <c r="H340" s="13"/>
    </row>
    <row r="341" spans="6:8" ht="13" x14ac:dyDescent="0.15">
      <c r="F341" s="13"/>
      <c r="G341" s="13"/>
      <c r="H341" s="13"/>
    </row>
    <row r="342" spans="6:8" ht="13" x14ac:dyDescent="0.15">
      <c r="F342" s="13"/>
      <c r="G342" s="13"/>
      <c r="H342" s="13"/>
    </row>
    <row r="343" spans="6:8" ht="13" x14ac:dyDescent="0.15">
      <c r="F343" s="13"/>
      <c r="G343" s="13"/>
      <c r="H343" s="13"/>
    </row>
    <row r="344" spans="6:8" ht="13" x14ac:dyDescent="0.15">
      <c r="F344" s="13"/>
      <c r="G344" s="13"/>
      <c r="H344" s="13"/>
    </row>
    <row r="345" spans="6:8" ht="13" x14ac:dyDescent="0.15">
      <c r="F345" s="13"/>
      <c r="G345" s="13"/>
      <c r="H345" s="13"/>
    </row>
    <row r="346" spans="6:8" ht="13" x14ac:dyDescent="0.15">
      <c r="F346" s="13"/>
      <c r="G346" s="13"/>
      <c r="H346" s="13"/>
    </row>
    <row r="347" spans="6:8" ht="13" x14ac:dyDescent="0.15">
      <c r="F347" s="13"/>
      <c r="G347" s="13"/>
      <c r="H347" s="13"/>
    </row>
    <row r="348" spans="6:8" ht="13" x14ac:dyDescent="0.15">
      <c r="F348" s="13"/>
      <c r="G348" s="13"/>
      <c r="H348" s="13"/>
    </row>
    <row r="349" spans="6:8" ht="13" x14ac:dyDescent="0.15">
      <c r="F349" s="13"/>
      <c r="G349" s="13"/>
      <c r="H349" s="13"/>
    </row>
    <row r="350" spans="6:8" ht="13" x14ac:dyDescent="0.15">
      <c r="F350" s="13"/>
      <c r="G350" s="13"/>
      <c r="H350" s="13"/>
    </row>
    <row r="351" spans="6:8" ht="13" x14ac:dyDescent="0.15">
      <c r="F351" s="13"/>
      <c r="G351" s="13"/>
      <c r="H351" s="13"/>
    </row>
    <row r="352" spans="6:8" ht="13" x14ac:dyDescent="0.15">
      <c r="F352" s="13"/>
      <c r="G352" s="13"/>
      <c r="H352" s="13"/>
    </row>
    <row r="353" spans="6:8" ht="13" x14ac:dyDescent="0.15">
      <c r="F353" s="13"/>
      <c r="G353" s="13"/>
      <c r="H353" s="13"/>
    </row>
    <row r="354" spans="6:8" ht="13" x14ac:dyDescent="0.15">
      <c r="F354" s="13"/>
      <c r="G354" s="13"/>
      <c r="H354" s="13"/>
    </row>
    <row r="355" spans="6:8" ht="13" x14ac:dyDescent="0.15">
      <c r="F355" s="13"/>
      <c r="G355" s="13"/>
      <c r="H355" s="13"/>
    </row>
    <row r="356" spans="6:8" ht="13" x14ac:dyDescent="0.15">
      <c r="F356" s="13"/>
      <c r="G356" s="13"/>
      <c r="H356" s="13"/>
    </row>
    <row r="357" spans="6:8" ht="13" x14ac:dyDescent="0.15">
      <c r="F357" s="13"/>
      <c r="G357" s="13"/>
      <c r="H357" s="13"/>
    </row>
    <row r="358" spans="6:8" ht="13" x14ac:dyDescent="0.15">
      <c r="F358" s="13"/>
      <c r="G358" s="13"/>
      <c r="H358" s="13"/>
    </row>
    <row r="359" spans="6:8" ht="13" x14ac:dyDescent="0.15">
      <c r="F359" s="13"/>
      <c r="G359" s="13"/>
      <c r="H359" s="13"/>
    </row>
    <row r="360" spans="6:8" ht="13" x14ac:dyDescent="0.15">
      <c r="F360" s="13"/>
      <c r="G360" s="13"/>
      <c r="H360" s="13"/>
    </row>
    <row r="361" spans="6:8" ht="13" x14ac:dyDescent="0.15">
      <c r="F361" s="13"/>
      <c r="G361" s="13"/>
      <c r="H361" s="13"/>
    </row>
    <row r="362" spans="6:8" ht="13" x14ac:dyDescent="0.15">
      <c r="F362" s="13"/>
      <c r="G362" s="13"/>
      <c r="H362" s="13"/>
    </row>
    <row r="363" spans="6:8" ht="13" x14ac:dyDescent="0.15">
      <c r="F363" s="13"/>
      <c r="G363" s="13"/>
      <c r="H363" s="13"/>
    </row>
    <row r="364" spans="6:8" ht="13" x14ac:dyDescent="0.15">
      <c r="F364" s="13"/>
      <c r="G364" s="13"/>
      <c r="H364" s="13"/>
    </row>
    <row r="365" spans="6:8" ht="13" x14ac:dyDescent="0.15">
      <c r="F365" s="13"/>
      <c r="G365" s="13"/>
      <c r="H365" s="13"/>
    </row>
    <row r="366" spans="6:8" ht="13" x14ac:dyDescent="0.15">
      <c r="F366" s="13"/>
      <c r="G366" s="13"/>
      <c r="H366" s="13"/>
    </row>
    <row r="367" spans="6:8" ht="13" x14ac:dyDescent="0.15">
      <c r="F367" s="13"/>
      <c r="G367" s="13"/>
      <c r="H367" s="13"/>
    </row>
    <row r="368" spans="6:8" ht="13" x14ac:dyDescent="0.15">
      <c r="F368" s="13"/>
      <c r="G368" s="13"/>
      <c r="H368" s="13"/>
    </row>
    <row r="369" spans="6:8" ht="13" x14ac:dyDescent="0.15">
      <c r="F369" s="13"/>
      <c r="G369" s="13"/>
      <c r="H369" s="13"/>
    </row>
    <row r="370" spans="6:8" ht="13" x14ac:dyDescent="0.15">
      <c r="F370" s="13"/>
      <c r="G370" s="13"/>
      <c r="H370" s="13"/>
    </row>
    <row r="371" spans="6:8" ht="13" x14ac:dyDescent="0.15">
      <c r="F371" s="13"/>
      <c r="G371" s="13"/>
      <c r="H371" s="13"/>
    </row>
    <row r="372" spans="6:8" ht="13" x14ac:dyDescent="0.15">
      <c r="F372" s="13"/>
      <c r="G372" s="13"/>
      <c r="H372" s="13"/>
    </row>
    <row r="373" spans="6:8" ht="13" x14ac:dyDescent="0.15">
      <c r="F373" s="13"/>
      <c r="G373" s="13"/>
      <c r="H373" s="13"/>
    </row>
    <row r="374" spans="6:8" ht="13" x14ac:dyDescent="0.15">
      <c r="F374" s="13"/>
      <c r="G374" s="13"/>
      <c r="H374" s="13"/>
    </row>
    <row r="375" spans="6:8" ht="13" x14ac:dyDescent="0.15">
      <c r="F375" s="13"/>
      <c r="G375" s="13"/>
      <c r="H375" s="13"/>
    </row>
    <row r="376" spans="6:8" ht="13" x14ac:dyDescent="0.15">
      <c r="F376" s="13"/>
      <c r="G376" s="13"/>
      <c r="H376" s="13"/>
    </row>
    <row r="377" spans="6:8" ht="13" x14ac:dyDescent="0.15">
      <c r="F377" s="13"/>
      <c r="G377" s="13"/>
      <c r="H377" s="13"/>
    </row>
    <row r="378" spans="6:8" ht="13" x14ac:dyDescent="0.15">
      <c r="F378" s="13"/>
      <c r="G378" s="13"/>
      <c r="H378" s="13"/>
    </row>
    <row r="379" spans="6:8" ht="13" x14ac:dyDescent="0.15">
      <c r="F379" s="13"/>
      <c r="G379" s="13"/>
      <c r="H379" s="13"/>
    </row>
    <row r="380" spans="6:8" ht="13" x14ac:dyDescent="0.15">
      <c r="F380" s="13"/>
      <c r="G380" s="13"/>
      <c r="H380" s="13"/>
    </row>
    <row r="381" spans="6:8" ht="13" x14ac:dyDescent="0.15">
      <c r="F381" s="13"/>
      <c r="G381" s="13"/>
      <c r="H381" s="13"/>
    </row>
    <row r="382" spans="6:8" ht="13" x14ac:dyDescent="0.15">
      <c r="F382" s="13"/>
      <c r="G382" s="13"/>
      <c r="H382" s="13"/>
    </row>
    <row r="383" spans="6:8" ht="13" x14ac:dyDescent="0.15">
      <c r="F383" s="13"/>
      <c r="G383" s="13"/>
      <c r="H383" s="13"/>
    </row>
    <row r="384" spans="6:8" ht="13" x14ac:dyDescent="0.15">
      <c r="F384" s="13"/>
      <c r="G384" s="13"/>
      <c r="H384" s="13"/>
    </row>
    <row r="385" spans="6:8" ht="13" x14ac:dyDescent="0.15">
      <c r="F385" s="13"/>
      <c r="G385" s="13"/>
      <c r="H385" s="13"/>
    </row>
    <row r="386" spans="6:8" ht="13" x14ac:dyDescent="0.15">
      <c r="F386" s="13"/>
      <c r="G386" s="13"/>
      <c r="H386" s="13"/>
    </row>
    <row r="387" spans="6:8" ht="13" x14ac:dyDescent="0.15">
      <c r="F387" s="13"/>
      <c r="G387" s="13"/>
      <c r="H387" s="13"/>
    </row>
    <row r="388" spans="6:8" ht="13" x14ac:dyDescent="0.15">
      <c r="F388" s="13"/>
      <c r="G388" s="13"/>
      <c r="H388" s="13"/>
    </row>
    <row r="389" spans="6:8" ht="13" x14ac:dyDescent="0.15">
      <c r="F389" s="13"/>
      <c r="G389" s="13"/>
      <c r="H389" s="13"/>
    </row>
    <row r="390" spans="6:8" ht="13" x14ac:dyDescent="0.15">
      <c r="F390" s="13"/>
      <c r="G390" s="13"/>
      <c r="H390" s="13"/>
    </row>
    <row r="391" spans="6:8" ht="13" x14ac:dyDescent="0.15">
      <c r="F391" s="13"/>
      <c r="G391" s="13"/>
      <c r="H391" s="13"/>
    </row>
    <row r="392" spans="6:8" ht="13" x14ac:dyDescent="0.15">
      <c r="F392" s="13"/>
      <c r="G392" s="13"/>
      <c r="H392" s="13"/>
    </row>
    <row r="393" spans="6:8" ht="13" x14ac:dyDescent="0.15">
      <c r="F393" s="13"/>
      <c r="G393" s="13"/>
      <c r="H393" s="13"/>
    </row>
    <row r="394" spans="6:8" ht="13" x14ac:dyDescent="0.15">
      <c r="F394" s="13"/>
      <c r="G394" s="13"/>
      <c r="H394" s="13"/>
    </row>
    <row r="395" spans="6:8" ht="13" x14ac:dyDescent="0.15">
      <c r="F395" s="13"/>
      <c r="G395" s="13"/>
      <c r="H395" s="13"/>
    </row>
    <row r="396" spans="6:8" ht="13" x14ac:dyDescent="0.15">
      <c r="F396" s="13"/>
      <c r="G396" s="13"/>
      <c r="H396" s="13"/>
    </row>
    <row r="397" spans="6:8" ht="13" x14ac:dyDescent="0.15">
      <c r="F397" s="13"/>
      <c r="G397" s="13"/>
      <c r="H397" s="13"/>
    </row>
    <row r="398" spans="6:8" ht="13" x14ac:dyDescent="0.15">
      <c r="F398" s="13"/>
      <c r="G398" s="13"/>
      <c r="H398" s="13"/>
    </row>
    <row r="399" spans="6:8" ht="13" x14ac:dyDescent="0.15">
      <c r="F399" s="13"/>
      <c r="G399" s="13"/>
      <c r="H399" s="13"/>
    </row>
    <row r="400" spans="6:8" ht="13" x14ac:dyDescent="0.15">
      <c r="F400" s="13"/>
      <c r="G400" s="13"/>
      <c r="H400" s="13"/>
    </row>
    <row r="401" spans="6:8" ht="13" x14ac:dyDescent="0.15">
      <c r="F401" s="13"/>
      <c r="G401" s="13"/>
      <c r="H401" s="13"/>
    </row>
    <row r="402" spans="6:8" ht="13" x14ac:dyDescent="0.15">
      <c r="F402" s="13"/>
      <c r="G402" s="13"/>
      <c r="H402" s="13"/>
    </row>
    <row r="403" spans="6:8" ht="13" x14ac:dyDescent="0.15">
      <c r="F403" s="13"/>
      <c r="G403" s="13"/>
      <c r="H403" s="13"/>
    </row>
    <row r="404" spans="6:8" ht="13" x14ac:dyDescent="0.15">
      <c r="F404" s="13"/>
      <c r="G404" s="13"/>
      <c r="H404" s="13"/>
    </row>
    <row r="405" spans="6:8" ht="13" x14ac:dyDescent="0.15">
      <c r="F405" s="13"/>
      <c r="G405" s="13"/>
      <c r="H405" s="13"/>
    </row>
    <row r="406" spans="6:8" ht="13" x14ac:dyDescent="0.15">
      <c r="F406" s="13"/>
      <c r="G406" s="13"/>
      <c r="H406" s="13"/>
    </row>
    <row r="407" spans="6:8" ht="13" x14ac:dyDescent="0.15">
      <c r="F407" s="13"/>
      <c r="G407" s="13"/>
      <c r="H407" s="13"/>
    </row>
    <row r="408" spans="6:8" ht="13" x14ac:dyDescent="0.15">
      <c r="F408" s="13"/>
      <c r="G408" s="13"/>
      <c r="H408" s="13"/>
    </row>
    <row r="409" spans="6:8" ht="13" x14ac:dyDescent="0.15">
      <c r="F409" s="13"/>
      <c r="G409" s="13"/>
      <c r="H409" s="13"/>
    </row>
    <row r="410" spans="6:8" ht="13" x14ac:dyDescent="0.15">
      <c r="F410" s="13"/>
      <c r="G410" s="13"/>
      <c r="H410" s="13"/>
    </row>
    <row r="411" spans="6:8" ht="13" x14ac:dyDescent="0.15">
      <c r="F411" s="13"/>
      <c r="G411" s="13"/>
      <c r="H411" s="13"/>
    </row>
    <row r="412" spans="6:8" ht="13" x14ac:dyDescent="0.15">
      <c r="F412" s="13"/>
      <c r="G412" s="13"/>
      <c r="H412" s="13"/>
    </row>
    <row r="413" spans="6:8" ht="13" x14ac:dyDescent="0.15">
      <c r="F413" s="13"/>
      <c r="G413" s="13"/>
      <c r="H413" s="13"/>
    </row>
    <row r="414" spans="6:8" ht="13" x14ac:dyDescent="0.15">
      <c r="F414" s="13"/>
      <c r="G414" s="13"/>
      <c r="H414" s="13"/>
    </row>
    <row r="415" spans="6:8" ht="13" x14ac:dyDescent="0.15">
      <c r="F415" s="13"/>
      <c r="G415" s="13"/>
      <c r="H415" s="13"/>
    </row>
    <row r="416" spans="6:8" ht="13" x14ac:dyDescent="0.15">
      <c r="F416" s="13"/>
      <c r="G416" s="13"/>
      <c r="H416" s="13"/>
    </row>
    <row r="417" spans="6:8" ht="13" x14ac:dyDescent="0.15">
      <c r="F417" s="13"/>
      <c r="G417" s="13"/>
      <c r="H417" s="13"/>
    </row>
    <row r="418" spans="6:8" ht="13" x14ac:dyDescent="0.15">
      <c r="F418" s="13"/>
      <c r="G418" s="13"/>
      <c r="H418" s="13"/>
    </row>
    <row r="419" spans="6:8" ht="13" x14ac:dyDescent="0.15">
      <c r="F419" s="13"/>
      <c r="G419" s="13"/>
      <c r="H419" s="13"/>
    </row>
    <row r="420" spans="6:8" ht="13" x14ac:dyDescent="0.15">
      <c r="F420" s="13"/>
      <c r="G420" s="13"/>
      <c r="H420" s="13"/>
    </row>
    <row r="421" spans="6:8" ht="13" x14ac:dyDescent="0.15">
      <c r="F421" s="13"/>
      <c r="G421" s="13"/>
      <c r="H421" s="13"/>
    </row>
    <row r="422" spans="6:8" ht="13" x14ac:dyDescent="0.15">
      <c r="F422" s="13"/>
      <c r="G422" s="13"/>
      <c r="H422" s="13"/>
    </row>
    <row r="423" spans="6:8" ht="13" x14ac:dyDescent="0.15">
      <c r="F423" s="13"/>
      <c r="G423" s="13"/>
      <c r="H423" s="13"/>
    </row>
    <row r="424" spans="6:8" ht="13" x14ac:dyDescent="0.15">
      <c r="F424" s="13"/>
      <c r="G424" s="13"/>
      <c r="H424" s="13"/>
    </row>
    <row r="425" spans="6:8" ht="13" x14ac:dyDescent="0.15">
      <c r="F425" s="13"/>
      <c r="G425" s="13"/>
      <c r="H425" s="13"/>
    </row>
    <row r="426" spans="6:8" ht="13" x14ac:dyDescent="0.15">
      <c r="F426" s="13"/>
      <c r="G426" s="13"/>
      <c r="H426" s="13"/>
    </row>
    <row r="427" spans="6:8" ht="13" x14ac:dyDescent="0.15">
      <c r="F427" s="13"/>
      <c r="G427" s="13"/>
      <c r="H427" s="13"/>
    </row>
    <row r="428" spans="6:8" ht="13" x14ac:dyDescent="0.15">
      <c r="F428" s="13"/>
      <c r="G428" s="13"/>
      <c r="H428" s="13"/>
    </row>
    <row r="429" spans="6:8" ht="13" x14ac:dyDescent="0.15">
      <c r="F429" s="13"/>
      <c r="G429" s="13"/>
      <c r="H429" s="13"/>
    </row>
    <row r="430" spans="6:8" ht="13" x14ac:dyDescent="0.15">
      <c r="F430" s="13"/>
      <c r="G430" s="13"/>
      <c r="H430" s="13"/>
    </row>
    <row r="431" spans="6:8" ht="13" x14ac:dyDescent="0.15">
      <c r="F431" s="13"/>
      <c r="G431" s="13"/>
      <c r="H431" s="13"/>
    </row>
    <row r="432" spans="6:8" ht="13" x14ac:dyDescent="0.15">
      <c r="F432" s="13"/>
      <c r="G432" s="13"/>
      <c r="H432" s="13"/>
    </row>
    <row r="433" spans="6:8" ht="13" x14ac:dyDescent="0.15">
      <c r="F433" s="13"/>
      <c r="G433" s="13"/>
      <c r="H433" s="13"/>
    </row>
    <row r="434" spans="6:8" ht="13" x14ac:dyDescent="0.15">
      <c r="F434" s="13"/>
      <c r="G434" s="13"/>
      <c r="H434" s="13"/>
    </row>
    <row r="435" spans="6:8" ht="13" x14ac:dyDescent="0.15">
      <c r="F435" s="13"/>
      <c r="G435" s="13"/>
      <c r="H435" s="13"/>
    </row>
    <row r="436" spans="6:8" ht="13" x14ac:dyDescent="0.15">
      <c r="F436" s="13"/>
      <c r="G436" s="13"/>
      <c r="H436" s="13"/>
    </row>
    <row r="437" spans="6:8" ht="13" x14ac:dyDescent="0.15">
      <c r="F437" s="13"/>
      <c r="G437" s="13"/>
      <c r="H437" s="13"/>
    </row>
    <row r="438" spans="6:8" ht="13" x14ac:dyDescent="0.15">
      <c r="F438" s="13"/>
      <c r="G438" s="13"/>
      <c r="H438" s="13"/>
    </row>
    <row r="439" spans="6:8" ht="13" x14ac:dyDescent="0.15">
      <c r="F439" s="13"/>
      <c r="G439" s="13"/>
      <c r="H439" s="13"/>
    </row>
    <row r="440" spans="6:8" ht="13" x14ac:dyDescent="0.15">
      <c r="F440" s="13"/>
      <c r="G440" s="13"/>
      <c r="H440" s="13"/>
    </row>
    <row r="441" spans="6:8" ht="13" x14ac:dyDescent="0.15">
      <c r="F441" s="13"/>
      <c r="G441" s="13"/>
      <c r="H441" s="13"/>
    </row>
    <row r="442" spans="6:8" ht="13" x14ac:dyDescent="0.15">
      <c r="F442" s="13"/>
      <c r="G442" s="13"/>
      <c r="H442" s="13"/>
    </row>
    <row r="443" spans="6:8" ht="13" x14ac:dyDescent="0.15">
      <c r="F443" s="13"/>
      <c r="G443" s="13"/>
      <c r="H443" s="13"/>
    </row>
    <row r="444" spans="6:8" ht="13" x14ac:dyDescent="0.15">
      <c r="F444" s="13"/>
      <c r="G444" s="13"/>
      <c r="H444" s="13"/>
    </row>
    <row r="445" spans="6:8" ht="13" x14ac:dyDescent="0.15">
      <c r="F445" s="13"/>
      <c r="G445" s="13"/>
      <c r="H445" s="13"/>
    </row>
    <row r="446" spans="6:8" ht="13" x14ac:dyDescent="0.15">
      <c r="F446" s="13"/>
      <c r="G446" s="13"/>
      <c r="H446" s="13"/>
    </row>
    <row r="447" spans="6:8" ht="13" x14ac:dyDescent="0.15">
      <c r="F447" s="13"/>
      <c r="G447" s="13"/>
      <c r="H447" s="13"/>
    </row>
    <row r="448" spans="6:8" ht="13" x14ac:dyDescent="0.15">
      <c r="F448" s="13"/>
      <c r="G448" s="13"/>
      <c r="H448" s="13"/>
    </row>
    <row r="449" spans="6:8" ht="13" x14ac:dyDescent="0.15">
      <c r="F449" s="13"/>
      <c r="G449" s="13"/>
      <c r="H449" s="13"/>
    </row>
    <row r="450" spans="6:8" ht="13" x14ac:dyDescent="0.15">
      <c r="F450" s="13"/>
      <c r="G450" s="13"/>
      <c r="H450" s="13"/>
    </row>
    <row r="451" spans="6:8" ht="13" x14ac:dyDescent="0.15">
      <c r="F451" s="13"/>
      <c r="G451" s="13"/>
      <c r="H451" s="13"/>
    </row>
    <row r="452" spans="6:8" ht="13" x14ac:dyDescent="0.15">
      <c r="F452" s="13"/>
      <c r="G452" s="13"/>
      <c r="H452" s="13"/>
    </row>
    <row r="453" spans="6:8" ht="13" x14ac:dyDescent="0.15">
      <c r="F453" s="13"/>
      <c r="G453" s="13"/>
      <c r="H453" s="13"/>
    </row>
    <row r="454" spans="6:8" ht="13" x14ac:dyDescent="0.15">
      <c r="F454" s="13"/>
      <c r="G454" s="13"/>
      <c r="H454" s="13"/>
    </row>
    <row r="455" spans="6:8" ht="13" x14ac:dyDescent="0.15">
      <c r="F455" s="13"/>
      <c r="G455" s="13"/>
      <c r="H455" s="13"/>
    </row>
    <row r="456" spans="6:8" ht="13" x14ac:dyDescent="0.15">
      <c r="F456" s="13"/>
      <c r="G456" s="13"/>
      <c r="H456" s="13"/>
    </row>
    <row r="457" spans="6:8" ht="13" x14ac:dyDescent="0.15">
      <c r="F457" s="13"/>
      <c r="G457" s="13"/>
      <c r="H457" s="13"/>
    </row>
    <row r="458" spans="6:8" ht="13" x14ac:dyDescent="0.15">
      <c r="F458" s="13"/>
      <c r="G458" s="13"/>
      <c r="H458" s="13"/>
    </row>
    <row r="459" spans="6:8" ht="13" x14ac:dyDescent="0.15">
      <c r="F459" s="13"/>
      <c r="G459" s="13"/>
      <c r="H459" s="13"/>
    </row>
    <row r="460" spans="6:8" ht="13" x14ac:dyDescent="0.15">
      <c r="F460" s="13"/>
      <c r="G460" s="13"/>
      <c r="H460" s="13"/>
    </row>
    <row r="461" spans="6:8" ht="13" x14ac:dyDescent="0.15">
      <c r="F461" s="13"/>
      <c r="G461" s="13"/>
      <c r="H461" s="13"/>
    </row>
    <row r="462" spans="6:8" ht="13" x14ac:dyDescent="0.15">
      <c r="F462" s="13"/>
      <c r="G462" s="13"/>
      <c r="H462" s="13"/>
    </row>
    <row r="463" spans="6:8" ht="13" x14ac:dyDescent="0.15">
      <c r="F463" s="13"/>
      <c r="G463" s="13"/>
      <c r="H463" s="13"/>
    </row>
    <row r="464" spans="6:8" ht="13" x14ac:dyDescent="0.15">
      <c r="F464" s="13"/>
      <c r="G464" s="13"/>
      <c r="H464" s="13"/>
    </row>
    <row r="465" spans="6:8" ht="13" x14ac:dyDescent="0.15">
      <c r="F465" s="13"/>
      <c r="G465" s="13"/>
      <c r="H465" s="13"/>
    </row>
    <row r="466" spans="6:8" ht="13" x14ac:dyDescent="0.15">
      <c r="F466" s="13"/>
      <c r="G466" s="13"/>
      <c r="H466" s="13"/>
    </row>
    <row r="467" spans="6:8" ht="13" x14ac:dyDescent="0.15">
      <c r="F467" s="13"/>
      <c r="G467" s="13"/>
      <c r="H467" s="13"/>
    </row>
    <row r="468" spans="6:8" ht="13" x14ac:dyDescent="0.15">
      <c r="F468" s="13"/>
      <c r="G468" s="13"/>
      <c r="H468" s="13"/>
    </row>
    <row r="469" spans="6:8" ht="13" x14ac:dyDescent="0.15">
      <c r="F469" s="13"/>
      <c r="G469" s="13"/>
      <c r="H469" s="13"/>
    </row>
    <row r="470" spans="6:8" ht="13" x14ac:dyDescent="0.15">
      <c r="F470" s="13"/>
      <c r="G470" s="13"/>
      <c r="H470" s="13"/>
    </row>
    <row r="471" spans="6:8" ht="13" x14ac:dyDescent="0.15">
      <c r="F471" s="13"/>
      <c r="G471" s="13"/>
      <c r="H471" s="13"/>
    </row>
    <row r="472" spans="6:8" ht="13" x14ac:dyDescent="0.15">
      <c r="F472" s="13"/>
      <c r="G472" s="13"/>
      <c r="H472" s="13"/>
    </row>
    <row r="473" spans="6:8" ht="13" x14ac:dyDescent="0.15">
      <c r="F473" s="13"/>
      <c r="G473" s="13"/>
      <c r="H473" s="13"/>
    </row>
    <row r="474" spans="6:8" ht="13" x14ac:dyDescent="0.15">
      <c r="F474" s="13"/>
      <c r="G474" s="13"/>
      <c r="H474" s="13"/>
    </row>
    <row r="475" spans="6:8" ht="13" x14ac:dyDescent="0.15">
      <c r="F475" s="13"/>
      <c r="G475" s="13"/>
      <c r="H475" s="13"/>
    </row>
    <row r="476" spans="6:8" ht="13" x14ac:dyDescent="0.15">
      <c r="F476" s="13"/>
      <c r="G476" s="13"/>
      <c r="H476" s="13"/>
    </row>
    <row r="477" spans="6:8" ht="13" x14ac:dyDescent="0.15">
      <c r="F477" s="13"/>
      <c r="G477" s="13"/>
      <c r="H477" s="13"/>
    </row>
    <row r="478" spans="6:8" ht="13" x14ac:dyDescent="0.15">
      <c r="F478" s="13"/>
      <c r="G478" s="13"/>
      <c r="H478" s="13"/>
    </row>
    <row r="479" spans="6:8" ht="13" x14ac:dyDescent="0.15">
      <c r="F479" s="13"/>
      <c r="G479" s="13"/>
      <c r="H479" s="13"/>
    </row>
    <row r="480" spans="6:8" ht="13" x14ac:dyDescent="0.15">
      <c r="F480" s="13"/>
      <c r="G480" s="13"/>
      <c r="H480" s="13"/>
    </row>
    <row r="481" spans="6:8" ht="13" x14ac:dyDescent="0.15">
      <c r="F481" s="13"/>
      <c r="G481" s="13"/>
      <c r="H481" s="13"/>
    </row>
    <row r="482" spans="6:8" ht="13" x14ac:dyDescent="0.15">
      <c r="F482" s="13"/>
      <c r="G482" s="13"/>
      <c r="H482" s="13"/>
    </row>
    <row r="483" spans="6:8" ht="13" x14ac:dyDescent="0.15">
      <c r="F483" s="13"/>
      <c r="G483" s="13"/>
      <c r="H483" s="13"/>
    </row>
    <row r="484" spans="6:8" ht="13" x14ac:dyDescent="0.15">
      <c r="F484" s="13"/>
      <c r="G484" s="13"/>
      <c r="H484" s="13"/>
    </row>
    <row r="485" spans="6:8" ht="13" x14ac:dyDescent="0.15">
      <c r="F485" s="13"/>
      <c r="G485" s="13"/>
      <c r="H485" s="13"/>
    </row>
    <row r="486" spans="6:8" ht="13" x14ac:dyDescent="0.15">
      <c r="F486" s="13"/>
      <c r="G486" s="13"/>
      <c r="H486" s="13"/>
    </row>
    <row r="487" spans="6:8" ht="13" x14ac:dyDescent="0.15">
      <c r="F487" s="13"/>
      <c r="G487" s="13"/>
      <c r="H487" s="13"/>
    </row>
    <row r="488" spans="6:8" ht="13" x14ac:dyDescent="0.15">
      <c r="F488" s="13"/>
      <c r="G488" s="13"/>
      <c r="H488" s="13"/>
    </row>
    <row r="489" spans="6:8" ht="13" x14ac:dyDescent="0.15">
      <c r="F489" s="13"/>
      <c r="G489" s="13"/>
      <c r="H489" s="13"/>
    </row>
    <row r="490" spans="6:8" ht="13" x14ac:dyDescent="0.15">
      <c r="F490" s="13"/>
      <c r="G490" s="13"/>
      <c r="H490" s="13"/>
    </row>
    <row r="491" spans="6:8" ht="13" x14ac:dyDescent="0.15">
      <c r="F491" s="13"/>
      <c r="G491" s="13"/>
      <c r="H491" s="13"/>
    </row>
    <row r="492" spans="6:8" ht="13" x14ac:dyDescent="0.15">
      <c r="F492" s="13"/>
      <c r="G492" s="13"/>
      <c r="H492" s="13"/>
    </row>
    <row r="493" spans="6:8" ht="13" x14ac:dyDescent="0.15">
      <c r="F493" s="13"/>
      <c r="G493" s="13"/>
      <c r="H493" s="13"/>
    </row>
    <row r="494" spans="6:8" ht="13" x14ac:dyDescent="0.15">
      <c r="F494" s="13"/>
      <c r="G494" s="13"/>
      <c r="H494" s="13"/>
    </row>
    <row r="495" spans="6:8" ht="13" x14ac:dyDescent="0.15">
      <c r="F495" s="13"/>
      <c r="G495" s="13"/>
      <c r="H495" s="13"/>
    </row>
    <row r="496" spans="6:8" ht="13" x14ac:dyDescent="0.15">
      <c r="F496" s="13"/>
      <c r="G496" s="13"/>
      <c r="H496" s="13"/>
    </row>
    <row r="497" spans="6:8" ht="13" x14ac:dyDescent="0.15">
      <c r="F497" s="13"/>
      <c r="G497" s="13"/>
      <c r="H497" s="13"/>
    </row>
    <row r="498" spans="6:8" ht="13" x14ac:dyDescent="0.15">
      <c r="F498" s="13"/>
      <c r="G498" s="13"/>
      <c r="H498" s="13"/>
    </row>
    <row r="499" spans="6:8" ht="13" x14ac:dyDescent="0.15">
      <c r="F499" s="13"/>
      <c r="G499" s="13"/>
      <c r="H499" s="13"/>
    </row>
    <row r="500" spans="6:8" ht="13" x14ac:dyDescent="0.15">
      <c r="F500" s="13"/>
      <c r="G500" s="13"/>
      <c r="H500" s="13"/>
    </row>
    <row r="501" spans="6:8" ht="13" x14ac:dyDescent="0.15">
      <c r="F501" s="13"/>
      <c r="G501" s="13"/>
      <c r="H501" s="13"/>
    </row>
    <row r="502" spans="6:8" ht="13" x14ac:dyDescent="0.15">
      <c r="F502" s="13"/>
      <c r="G502" s="13"/>
      <c r="H502" s="13"/>
    </row>
    <row r="503" spans="6:8" ht="13" x14ac:dyDescent="0.15">
      <c r="F503" s="13"/>
      <c r="G503" s="13"/>
      <c r="H503" s="13"/>
    </row>
    <row r="504" spans="6:8" ht="13" x14ac:dyDescent="0.15">
      <c r="F504" s="13"/>
      <c r="G504" s="13"/>
      <c r="H504" s="13"/>
    </row>
    <row r="505" spans="6:8" ht="13" x14ac:dyDescent="0.15">
      <c r="F505" s="13"/>
      <c r="G505" s="13"/>
      <c r="H505" s="13"/>
    </row>
    <row r="506" spans="6:8" ht="13" x14ac:dyDescent="0.15">
      <c r="F506" s="13"/>
      <c r="G506" s="13"/>
      <c r="H506" s="13"/>
    </row>
    <row r="507" spans="6:8" ht="13" x14ac:dyDescent="0.15">
      <c r="F507" s="13"/>
      <c r="G507" s="13"/>
      <c r="H507" s="13"/>
    </row>
    <row r="508" spans="6:8" ht="13" x14ac:dyDescent="0.15">
      <c r="F508" s="13"/>
      <c r="G508" s="13"/>
      <c r="H508" s="13"/>
    </row>
    <row r="509" spans="6:8" ht="13" x14ac:dyDescent="0.15">
      <c r="F509" s="13"/>
      <c r="G509" s="13"/>
      <c r="H509" s="13"/>
    </row>
    <row r="510" spans="6:8" ht="13" x14ac:dyDescent="0.15">
      <c r="F510" s="13"/>
      <c r="G510" s="13"/>
      <c r="H510" s="13"/>
    </row>
    <row r="511" spans="6:8" ht="13" x14ac:dyDescent="0.15">
      <c r="F511" s="13"/>
      <c r="G511" s="13"/>
      <c r="H511" s="13"/>
    </row>
    <row r="512" spans="6:8" ht="13" x14ac:dyDescent="0.15">
      <c r="F512" s="13"/>
      <c r="G512" s="13"/>
      <c r="H512" s="13"/>
    </row>
    <row r="513" spans="6:8" ht="13" x14ac:dyDescent="0.15">
      <c r="F513" s="13"/>
      <c r="G513" s="13"/>
      <c r="H513" s="13"/>
    </row>
    <row r="514" spans="6:8" ht="13" x14ac:dyDescent="0.15">
      <c r="F514" s="13"/>
      <c r="G514" s="13"/>
      <c r="H514" s="13"/>
    </row>
    <row r="515" spans="6:8" ht="13" x14ac:dyDescent="0.15">
      <c r="F515" s="13"/>
      <c r="G515" s="13"/>
      <c r="H515" s="13"/>
    </row>
    <row r="516" spans="6:8" ht="13" x14ac:dyDescent="0.15">
      <c r="F516" s="13"/>
      <c r="G516" s="13"/>
      <c r="H516" s="13"/>
    </row>
    <row r="517" spans="6:8" ht="13" x14ac:dyDescent="0.15">
      <c r="F517" s="13"/>
      <c r="G517" s="13"/>
      <c r="H517" s="13"/>
    </row>
    <row r="518" spans="6:8" ht="13" x14ac:dyDescent="0.15">
      <c r="F518" s="13"/>
      <c r="G518" s="13"/>
      <c r="H518" s="13"/>
    </row>
    <row r="519" spans="6:8" ht="13" x14ac:dyDescent="0.15">
      <c r="F519" s="13"/>
      <c r="G519" s="13"/>
      <c r="H519" s="13"/>
    </row>
    <row r="520" spans="6:8" ht="13" x14ac:dyDescent="0.15">
      <c r="F520" s="13"/>
      <c r="G520" s="13"/>
      <c r="H520" s="13"/>
    </row>
    <row r="521" spans="6:8" ht="13" x14ac:dyDescent="0.15">
      <c r="F521" s="13"/>
      <c r="G521" s="13"/>
      <c r="H521" s="13"/>
    </row>
    <row r="522" spans="6:8" ht="13" x14ac:dyDescent="0.15">
      <c r="F522" s="13"/>
      <c r="G522" s="13"/>
      <c r="H522" s="13"/>
    </row>
    <row r="523" spans="6:8" ht="13" x14ac:dyDescent="0.15">
      <c r="F523" s="13"/>
      <c r="G523" s="13"/>
      <c r="H523" s="13"/>
    </row>
    <row r="524" spans="6:8" ht="13" x14ac:dyDescent="0.15">
      <c r="F524" s="13"/>
      <c r="G524" s="13"/>
      <c r="H524" s="13"/>
    </row>
    <row r="525" spans="6:8" ht="13" x14ac:dyDescent="0.15">
      <c r="F525" s="13"/>
      <c r="G525" s="13"/>
      <c r="H525" s="13"/>
    </row>
    <row r="526" spans="6:8" ht="13" x14ac:dyDescent="0.15">
      <c r="F526" s="13"/>
      <c r="G526" s="13"/>
      <c r="H526" s="13"/>
    </row>
    <row r="527" spans="6:8" ht="13" x14ac:dyDescent="0.15">
      <c r="F527" s="13"/>
      <c r="G527" s="13"/>
      <c r="H527" s="13"/>
    </row>
    <row r="528" spans="6:8" ht="13" x14ac:dyDescent="0.15">
      <c r="F528" s="13"/>
      <c r="G528" s="13"/>
      <c r="H528" s="13"/>
    </row>
    <row r="529" spans="6:8" ht="13" x14ac:dyDescent="0.15">
      <c r="F529" s="13"/>
      <c r="G529" s="13"/>
      <c r="H529" s="13"/>
    </row>
    <row r="530" spans="6:8" ht="13" x14ac:dyDescent="0.15">
      <c r="F530" s="13"/>
      <c r="G530" s="13"/>
      <c r="H530" s="13"/>
    </row>
    <row r="531" spans="6:8" ht="13" x14ac:dyDescent="0.15">
      <c r="F531" s="13"/>
      <c r="G531" s="13"/>
      <c r="H531" s="13"/>
    </row>
    <row r="532" spans="6:8" ht="13" x14ac:dyDescent="0.15">
      <c r="F532" s="13"/>
      <c r="G532" s="13"/>
      <c r="H532" s="13"/>
    </row>
    <row r="533" spans="6:8" ht="13" x14ac:dyDescent="0.15">
      <c r="F533" s="13"/>
      <c r="G533" s="13"/>
      <c r="H533" s="13"/>
    </row>
    <row r="534" spans="6:8" ht="13" x14ac:dyDescent="0.15">
      <c r="F534" s="13"/>
      <c r="G534" s="13"/>
      <c r="H534" s="13"/>
    </row>
    <row r="535" spans="6:8" ht="13" x14ac:dyDescent="0.15">
      <c r="F535" s="13"/>
      <c r="G535" s="13"/>
      <c r="H535" s="13"/>
    </row>
    <row r="536" spans="6:8" ht="13" x14ac:dyDescent="0.15">
      <c r="F536" s="13"/>
      <c r="G536" s="13"/>
      <c r="H536" s="13"/>
    </row>
    <row r="537" spans="6:8" ht="13" x14ac:dyDescent="0.15">
      <c r="F537" s="13"/>
      <c r="G537" s="13"/>
      <c r="H537" s="13"/>
    </row>
    <row r="538" spans="6:8" ht="13" x14ac:dyDescent="0.15">
      <c r="F538" s="13"/>
      <c r="G538" s="13"/>
      <c r="H538" s="13"/>
    </row>
    <row r="539" spans="6:8" ht="13" x14ac:dyDescent="0.15">
      <c r="F539" s="13"/>
      <c r="G539" s="13"/>
      <c r="H539" s="13"/>
    </row>
    <row r="540" spans="6:8" ht="13" x14ac:dyDescent="0.15">
      <c r="F540" s="13"/>
      <c r="G540" s="13"/>
      <c r="H540" s="13"/>
    </row>
    <row r="541" spans="6:8" ht="13" x14ac:dyDescent="0.15">
      <c r="F541" s="13"/>
      <c r="G541" s="13"/>
      <c r="H541" s="13"/>
    </row>
    <row r="542" spans="6:8" ht="13" x14ac:dyDescent="0.15">
      <c r="F542" s="13"/>
      <c r="G542" s="13"/>
      <c r="H542" s="13"/>
    </row>
    <row r="543" spans="6:8" ht="13" x14ac:dyDescent="0.15">
      <c r="F543" s="13"/>
      <c r="G543" s="13"/>
      <c r="H543" s="13"/>
    </row>
    <row r="544" spans="6:8" ht="13" x14ac:dyDescent="0.15">
      <c r="F544" s="13"/>
      <c r="G544" s="13"/>
      <c r="H544" s="13"/>
    </row>
    <row r="545" spans="6:8" ht="13" x14ac:dyDescent="0.15">
      <c r="F545" s="13"/>
      <c r="G545" s="13"/>
      <c r="H545" s="13"/>
    </row>
    <row r="546" spans="6:8" ht="13" x14ac:dyDescent="0.15">
      <c r="F546" s="13"/>
      <c r="G546" s="13"/>
      <c r="H546" s="13"/>
    </row>
    <row r="547" spans="6:8" ht="13" x14ac:dyDescent="0.15">
      <c r="F547" s="13"/>
      <c r="G547" s="13"/>
      <c r="H547" s="13"/>
    </row>
    <row r="548" spans="6:8" ht="13" x14ac:dyDescent="0.15">
      <c r="F548" s="13"/>
      <c r="G548" s="13"/>
      <c r="H548" s="13"/>
    </row>
    <row r="549" spans="6:8" ht="13" x14ac:dyDescent="0.15">
      <c r="F549" s="13"/>
      <c r="G549" s="13"/>
      <c r="H549" s="13"/>
    </row>
    <row r="550" spans="6:8" ht="13" x14ac:dyDescent="0.15">
      <c r="F550" s="13"/>
      <c r="G550" s="13"/>
      <c r="H550" s="13"/>
    </row>
    <row r="551" spans="6:8" ht="13" x14ac:dyDescent="0.15">
      <c r="F551" s="13"/>
      <c r="G551" s="13"/>
      <c r="H551" s="13"/>
    </row>
    <row r="552" spans="6:8" ht="13" x14ac:dyDescent="0.15">
      <c r="F552" s="13"/>
      <c r="G552" s="13"/>
      <c r="H552" s="13"/>
    </row>
    <row r="553" spans="6:8" ht="13" x14ac:dyDescent="0.15">
      <c r="F553" s="13"/>
      <c r="G553" s="13"/>
      <c r="H553" s="13"/>
    </row>
    <row r="554" spans="6:8" ht="13" x14ac:dyDescent="0.15">
      <c r="F554" s="13"/>
      <c r="G554" s="13"/>
      <c r="H554" s="13"/>
    </row>
    <row r="555" spans="6:8" ht="13" x14ac:dyDescent="0.15">
      <c r="F555" s="13"/>
      <c r="G555" s="13"/>
      <c r="H555" s="13"/>
    </row>
    <row r="556" spans="6:8" ht="13" x14ac:dyDescent="0.15">
      <c r="F556" s="13"/>
      <c r="G556" s="13"/>
      <c r="H556" s="13"/>
    </row>
    <row r="557" spans="6:8" ht="13" x14ac:dyDescent="0.15">
      <c r="F557" s="13"/>
      <c r="G557" s="13"/>
      <c r="H557" s="13"/>
    </row>
    <row r="558" spans="6:8" ht="13" x14ac:dyDescent="0.15">
      <c r="F558" s="13"/>
      <c r="G558" s="13"/>
      <c r="H558" s="13"/>
    </row>
    <row r="559" spans="6:8" ht="13" x14ac:dyDescent="0.15">
      <c r="F559" s="13"/>
      <c r="G559" s="13"/>
      <c r="H559" s="13"/>
    </row>
    <row r="560" spans="6:8" ht="13" x14ac:dyDescent="0.15">
      <c r="F560" s="13"/>
      <c r="G560" s="13"/>
      <c r="H560" s="13"/>
    </row>
    <row r="561" spans="6:8" ht="13" x14ac:dyDescent="0.15">
      <c r="F561" s="13"/>
      <c r="G561" s="13"/>
      <c r="H561" s="13"/>
    </row>
    <row r="562" spans="6:8" ht="13" x14ac:dyDescent="0.15">
      <c r="F562" s="13"/>
      <c r="G562" s="13"/>
      <c r="H562" s="13"/>
    </row>
    <row r="563" spans="6:8" ht="13" x14ac:dyDescent="0.15">
      <c r="F563" s="13"/>
      <c r="G563" s="13"/>
      <c r="H563" s="13"/>
    </row>
    <row r="564" spans="6:8" ht="13" x14ac:dyDescent="0.15">
      <c r="F564" s="13"/>
      <c r="G564" s="13"/>
      <c r="H564" s="13"/>
    </row>
    <row r="565" spans="6:8" ht="13" x14ac:dyDescent="0.15">
      <c r="F565" s="13"/>
      <c r="G565" s="13"/>
      <c r="H565" s="13"/>
    </row>
    <row r="566" spans="6:8" ht="13" x14ac:dyDescent="0.15">
      <c r="F566" s="13"/>
      <c r="G566" s="13"/>
      <c r="H566" s="13"/>
    </row>
    <row r="567" spans="6:8" ht="13" x14ac:dyDescent="0.15">
      <c r="F567" s="13"/>
      <c r="G567" s="13"/>
      <c r="H567" s="13"/>
    </row>
    <row r="568" spans="6:8" ht="13" x14ac:dyDescent="0.15">
      <c r="F568" s="13"/>
      <c r="G568" s="13"/>
      <c r="H568" s="13"/>
    </row>
    <row r="569" spans="6:8" ht="13" x14ac:dyDescent="0.15">
      <c r="F569" s="13"/>
      <c r="G569" s="13"/>
      <c r="H569" s="13"/>
    </row>
    <row r="570" spans="6:8" ht="13" x14ac:dyDescent="0.15">
      <c r="F570" s="13"/>
      <c r="G570" s="13"/>
      <c r="H570" s="13"/>
    </row>
    <row r="571" spans="6:8" ht="13" x14ac:dyDescent="0.15">
      <c r="F571" s="13"/>
      <c r="G571" s="13"/>
      <c r="H571" s="13"/>
    </row>
    <row r="572" spans="6:8" ht="13" x14ac:dyDescent="0.15">
      <c r="F572" s="13"/>
      <c r="G572" s="13"/>
      <c r="H572" s="13"/>
    </row>
    <row r="573" spans="6:8" ht="13" x14ac:dyDescent="0.15">
      <c r="F573" s="13"/>
      <c r="G573" s="13"/>
      <c r="H573" s="13"/>
    </row>
    <row r="574" spans="6:8" ht="13" x14ac:dyDescent="0.15">
      <c r="F574" s="13"/>
      <c r="G574" s="13"/>
      <c r="H574" s="13"/>
    </row>
    <row r="575" spans="6:8" ht="13" x14ac:dyDescent="0.15">
      <c r="F575" s="13"/>
      <c r="G575" s="13"/>
      <c r="H575" s="13"/>
    </row>
    <row r="576" spans="6:8" ht="13" x14ac:dyDescent="0.15">
      <c r="F576" s="13"/>
      <c r="G576" s="13"/>
      <c r="H576" s="13"/>
    </row>
    <row r="577" spans="6:8" ht="13" x14ac:dyDescent="0.15">
      <c r="F577" s="13"/>
      <c r="G577" s="13"/>
      <c r="H577" s="13"/>
    </row>
    <row r="578" spans="6:8" ht="13" x14ac:dyDescent="0.15">
      <c r="F578" s="13"/>
      <c r="G578" s="13"/>
      <c r="H578" s="13"/>
    </row>
    <row r="579" spans="6:8" ht="13" x14ac:dyDescent="0.15">
      <c r="F579" s="13"/>
      <c r="G579" s="13"/>
      <c r="H579" s="13"/>
    </row>
    <row r="580" spans="6:8" ht="13" x14ac:dyDescent="0.15">
      <c r="F580" s="13"/>
      <c r="G580" s="13"/>
      <c r="H580" s="13"/>
    </row>
    <row r="581" spans="6:8" ht="13" x14ac:dyDescent="0.15">
      <c r="F581" s="13"/>
      <c r="G581" s="13"/>
      <c r="H581" s="13"/>
    </row>
    <row r="582" spans="6:8" ht="13" x14ac:dyDescent="0.15">
      <c r="F582" s="13"/>
      <c r="G582" s="13"/>
      <c r="H582" s="13"/>
    </row>
    <row r="583" spans="6:8" ht="13" x14ac:dyDescent="0.15">
      <c r="F583" s="13"/>
      <c r="G583" s="13"/>
      <c r="H583" s="13"/>
    </row>
    <row r="584" spans="6:8" ht="13" x14ac:dyDescent="0.15">
      <c r="F584" s="13"/>
      <c r="G584" s="13"/>
      <c r="H584" s="13"/>
    </row>
    <row r="585" spans="6:8" ht="13" x14ac:dyDescent="0.15">
      <c r="F585" s="13"/>
      <c r="G585" s="13"/>
      <c r="H585" s="13"/>
    </row>
    <row r="586" spans="6:8" ht="13" x14ac:dyDescent="0.15">
      <c r="F586" s="13"/>
      <c r="G586" s="13"/>
      <c r="H586" s="13"/>
    </row>
    <row r="587" spans="6:8" ht="13" x14ac:dyDescent="0.15">
      <c r="F587" s="13"/>
      <c r="G587" s="13"/>
      <c r="H587" s="13"/>
    </row>
    <row r="588" spans="6:8" ht="13" x14ac:dyDescent="0.15">
      <c r="F588" s="13"/>
      <c r="G588" s="13"/>
      <c r="H588" s="13"/>
    </row>
    <row r="589" spans="6:8" ht="13" x14ac:dyDescent="0.15">
      <c r="F589" s="13"/>
      <c r="G589" s="13"/>
      <c r="H589" s="13"/>
    </row>
    <row r="590" spans="6:8" ht="13" x14ac:dyDescent="0.15">
      <c r="F590" s="13"/>
      <c r="G590" s="13"/>
      <c r="H590" s="13"/>
    </row>
    <row r="591" spans="6:8" ht="13" x14ac:dyDescent="0.15">
      <c r="F591" s="13"/>
      <c r="G591" s="13"/>
      <c r="H591" s="13"/>
    </row>
    <row r="592" spans="6:8" ht="13" x14ac:dyDescent="0.15">
      <c r="F592" s="13"/>
      <c r="G592" s="13"/>
      <c r="H592" s="13"/>
    </row>
    <row r="593" spans="6:8" ht="13" x14ac:dyDescent="0.15">
      <c r="F593" s="13"/>
      <c r="G593" s="13"/>
      <c r="H593" s="13"/>
    </row>
    <row r="594" spans="6:8" ht="13" x14ac:dyDescent="0.15">
      <c r="F594" s="13"/>
      <c r="G594" s="13"/>
      <c r="H594" s="13"/>
    </row>
    <row r="595" spans="6:8" ht="13" x14ac:dyDescent="0.15">
      <c r="F595" s="13"/>
      <c r="G595" s="13"/>
      <c r="H595" s="13"/>
    </row>
    <row r="596" spans="6:8" ht="13" x14ac:dyDescent="0.15">
      <c r="F596" s="13"/>
      <c r="G596" s="13"/>
      <c r="H596" s="13"/>
    </row>
    <row r="597" spans="6:8" ht="13" x14ac:dyDescent="0.15">
      <c r="F597" s="13"/>
      <c r="G597" s="13"/>
      <c r="H597" s="13"/>
    </row>
    <row r="598" spans="6:8" ht="13" x14ac:dyDescent="0.15">
      <c r="F598" s="13"/>
      <c r="G598" s="13"/>
      <c r="H598" s="13"/>
    </row>
    <row r="599" spans="6:8" ht="13" x14ac:dyDescent="0.15">
      <c r="F599" s="13"/>
      <c r="G599" s="13"/>
      <c r="H599" s="13"/>
    </row>
    <row r="600" spans="6:8" ht="13" x14ac:dyDescent="0.15">
      <c r="F600" s="13"/>
      <c r="G600" s="13"/>
      <c r="H600" s="13"/>
    </row>
    <row r="601" spans="6:8" ht="13" x14ac:dyDescent="0.15">
      <c r="F601" s="13"/>
      <c r="G601" s="13"/>
      <c r="H601" s="13"/>
    </row>
    <row r="602" spans="6:8" ht="13" x14ac:dyDescent="0.15">
      <c r="F602" s="13"/>
      <c r="G602" s="13"/>
      <c r="H602" s="13"/>
    </row>
    <row r="603" spans="6:8" ht="13" x14ac:dyDescent="0.15">
      <c r="F603" s="13"/>
      <c r="G603" s="13"/>
      <c r="H603" s="13"/>
    </row>
    <row r="604" spans="6:8" ht="13" x14ac:dyDescent="0.15">
      <c r="F604" s="13"/>
      <c r="G604" s="13"/>
      <c r="H604" s="13"/>
    </row>
    <row r="605" spans="6:8" ht="13" x14ac:dyDescent="0.15">
      <c r="F605" s="13"/>
      <c r="G605" s="13"/>
      <c r="H605" s="13"/>
    </row>
    <row r="606" spans="6:8" ht="13" x14ac:dyDescent="0.15">
      <c r="F606" s="13"/>
      <c r="G606" s="13"/>
      <c r="H606" s="13"/>
    </row>
    <row r="607" spans="6:8" ht="13" x14ac:dyDescent="0.15">
      <c r="F607" s="13"/>
      <c r="G607" s="13"/>
      <c r="H607" s="13"/>
    </row>
    <row r="608" spans="6:8" ht="13" x14ac:dyDescent="0.15">
      <c r="F608" s="13"/>
      <c r="G608" s="13"/>
      <c r="H608" s="13"/>
    </row>
    <row r="609" spans="6:8" ht="13" x14ac:dyDescent="0.15">
      <c r="F609" s="13"/>
      <c r="G609" s="13"/>
      <c r="H609" s="13"/>
    </row>
    <row r="610" spans="6:8" ht="13" x14ac:dyDescent="0.15">
      <c r="F610" s="13"/>
      <c r="G610" s="13"/>
      <c r="H610" s="13"/>
    </row>
    <row r="611" spans="6:8" ht="13" x14ac:dyDescent="0.15">
      <c r="F611" s="13"/>
      <c r="G611" s="13"/>
      <c r="H611" s="13"/>
    </row>
    <row r="612" spans="6:8" ht="13" x14ac:dyDescent="0.15">
      <c r="F612" s="13"/>
      <c r="G612" s="13"/>
      <c r="H612" s="13"/>
    </row>
    <row r="613" spans="6:8" ht="13" x14ac:dyDescent="0.15">
      <c r="F613" s="13"/>
      <c r="G613" s="13"/>
      <c r="H613" s="13"/>
    </row>
    <row r="614" spans="6:8" ht="13" x14ac:dyDescent="0.15">
      <c r="F614" s="13"/>
      <c r="G614" s="13"/>
      <c r="H614" s="13"/>
    </row>
    <row r="615" spans="6:8" ht="13" x14ac:dyDescent="0.15">
      <c r="F615" s="13"/>
      <c r="G615" s="13"/>
      <c r="H615" s="13"/>
    </row>
    <row r="616" spans="6:8" ht="13" x14ac:dyDescent="0.15">
      <c r="F616" s="13"/>
      <c r="G616" s="13"/>
      <c r="H616" s="13"/>
    </row>
    <row r="617" spans="6:8" ht="13" x14ac:dyDescent="0.15">
      <c r="F617" s="13"/>
      <c r="G617" s="13"/>
      <c r="H617" s="13"/>
    </row>
    <row r="618" spans="6:8" ht="13" x14ac:dyDescent="0.15">
      <c r="F618" s="13"/>
      <c r="G618" s="13"/>
      <c r="H618" s="13"/>
    </row>
    <row r="619" spans="6:8" ht="13" x14ac:dyDescent="0.15">
      <c r="F619" s="13"/>
      <c r="G619" s="13"/>
      <c r="H619" s="13"/>
    </row>
    <row r="620" spans="6:8" ht="13" x14ac:dyDescent="0.15">
      <c r="F620" s="13"/>
      <c r="G620" s="13"/>
      <c r="H620" s="13"/>
    </row>
    <row r="621" spans="6:8" ht="13" x14ac:dyDescent="0.15">
      <c r="F621" s="13"/>
      <c r="G621" s="13"/>
      <c r="H621" s="13"/>
    </row>
    <row r="622" spans="6:8" ht="13" x14ac:dyDescent="0.15">
      <c r="F622" s="13"/>
      <c r="G622" s="13"/>
      <c r="H622" s="13"/>
    </row>
    <row r="623" spans="6:8" ht="13" x14ac:dyDescent="0.15">
      <c r="F623" s="13"/>
      <c r="G623" s="13"/>
      <c r="H623" s="13"/>
    </row>
    <row r="624" spans="6:8" ht="13" x14ac:dyDescent="0.15">
      <c r="F624" s="13"/>
      <c r="G624" s="13"/>
      <c r="H624" s="13"/>
    </row>
    <row r="625" spans="6:8" ht="13" x14ac:dyDescent="0.15">
      <c r="F625" s="13"/>
      <c r="G625" s="13"/>
      <c r="H625" s="13"/>
    </row>
    <row r="626" spans="6:8" ht="13" x14ac:dyDescent="0.15">
      <c r="F626" s="13"/>
      <c r="G626" s="13"/>
      <c r="H626" s="13"/>
    </row>
    <row r="627" spans="6:8" ht="13" x14ac:dyDescent="0.15">
      <c r="F627" s="13"/>
      <c r="G627" s="13"/>
      <c r="H627" s="13"/>
    </row>
    <row r="628" spans="6:8" ht="13" x14ac:dyDescent="0.15">
      <c r="F628" s="13"/>
      <c r="G628" s="13"/>
      <c r="H628" s="13"/>
    </row>
    <row r="629" spans="6:8" ht="13" x14ac:dyDescent="0.15">
      <c r="F629" s="13"/>
      <c r="G629" s="13"/>
      <c r="H629" s="13"/>
    </row>
    <row r="630" spans="6:8" ht="13" x14ac:dyDescent="0.15">
      <c r="F630" s="13"/>
      <c r="G630" s="13"/>
      <c r="H630" s="13"/>
    </row>
    <row r="631" spans="6:8" ht="13" x14ac:dyDescent="0.15">
      <c r="F631" s="13"/>
      <c r="G631" s="13"/>
      <c r="H631" s="13"/>
    </row>
    <row r="632" spans="6:8" ht="13" x14ac:dyDescent="0.15">
      <c r="F632" s="13"/>
      <c r="G632" s="13"/>
      <c r="H632" s="13"/>
    </row>
    <row r="633" spans="6:8" ht="13" x14ac:dyDescent="0.15">
      <c r="F633" s="13"/>
      <c r="G633" s="13"/>
      <c r="H633" s="13"/>
    </row>
    <row r="634" spans="6:8" ht="13" x14ac:dyDescent="0.15">
      <c r="F634" s="13"/>
      <c r="G634" s="13"/>
      <c r="H634" s="13"/>
    </row>
    <row r="635" spans="6:8" ht="13" x14ac:dyDescent="0.15">
      <c r="F635" s="13"/>
      <c r="G635" s="13"/>
      <c r="H635" s="13"/>
    </row>
    <row r="636" spans="6:8" ht="13" x14ac:dyDescent="0.15">
      <c r="F636" s="13"/>
      <c r="G636" s="13"/>
      <c r="H636" s="13"/>
    </row>
    <row r="637" spans="6:8" ht="13" x14ac:dyDescent="0.15">
      <c r="F637" s="13"/>
      <c r="G637" s="13"/>
      <c r="H637" s="13"/>
    </row>
    <row r="638" spans="6:8" ht="13" x14ac:dyDescent="0.15">
      <c r="F638" s="13"/>
      <c r="G638" s="13"/>
      <c r="H638" s="13"/>
    </row>
    <row r="639" spans="6:8" ht="13" x14ac:dyDescent="0.15">
      <c r="F639" s="13"/>
      <c r="G639" s="13"/>
      <c r="H639" s="13"/>
    </row>
    <row r="640" spans="6:8" ht="13" x14ac:dyDescent="0.15">
      <c r="F640" s="13"/>
      <c r="G640" s="13"/>
      <c r="H640" s="13"/>
    </row>
    <row r="641" spans="6:8" ht="13" x14ac:dyDescent="0.15">
      <c r="F641" s="13"/>
      <c r="G641" s="13"/>
      <c r="H641" s="13"/>
    </row>
    <row r="642" spans="6:8" ht="13" x14ac:dyDescent="0.15">
      <c r="F642" s="13"/>
      <c r="G642" s="13"/>
      <c r="H642" s="13"/>
    </row>
    <row r="643" spans="6:8" ht="13" x14ac:dyDescent="0.15">
      <c r="F643" s="13"/>
      <c r="G643" s="13"/>
      <c r="H643" s="13"/>
    </row>
    <row r="644" spans="6:8" ht="13" x14ac:dyDescent="0.15">
      <c r="F644" s="13"/>
      <c r="G644" s="13"/>
      <c r="H644" s="13"/>
    </row>
    <row r="645" spans="6:8" ht="13" x14ac:dyDescent="0.15">
      <c r="F645" s="13"/>
      <c r="G645" s="13"/>
      <c r="H645" s="13"/>
    </row>
    <row r="646" spans="6:8" ht="13" x14ac:dyDescent="0.15">
      <c r="F646" s="13"/>
      <c r="G646" s="13"/>
      <c r="H646" s="13"/>
    </row>
    <row r="647" spans="6:8" ht="13" x14ac:dyDescent="0.15">
      <c r="F647" s="13"/>
      <c r="G647" s="13"/>
      <c r="H647" s="13"/>
    </row>
    <row r="648" spans="6:8" ht="13" x14ac:dyDescent="0.15">
      <c r="F648" s="13"/>
      <c r="G648" s="13"/>
      <c r="H648" s="13"/>
    </row>
    <row r="649" spans="6:8" ht="13" x14ac:dyDescent="0.15">
      <c r="F649" s="13"/>
      <c r="G649" s="13"/>
      <c r="H649" s="13"/>
    </row>
    <row r="650" spans="6:8" ht="13" x14ac:dyDescent="0.15">
      <c r="F650" s="13"/>
      <c r="G650" s="13"/>
      <c r="H650" s="13"/>
    </row>
    <row r="651" spans="6:8" ht="13" x14ac:dyDescent="0.15">
      <c r="F651" s="13"/>
      <c r="G651" s="13"/>
      <c r="H651" s="13"/>
    </row>
    <row r="652" spans="6:8" ht="13" x14ac:dyDescent="0.15">
      <c r="F652" s="13"/>
      <c r="G652" s="13"/>
      <c r="H652" s="13"/>
    </row>
    <row r="653" spans="6:8" ht="13" x14ac:dyDescent="0.15">
      <c r="F653" s="13"/>
      <c r="G653" s="13"/>
      <c r="H653" s="13"/>
    </row>
    <row r="654" spans="6:8" ht="13" x14ac:dyDescent="0.15">
      <c r="F654" s="13"/>
      <c r="G654" s="13"/>
      <c r="H654" s="13"/>
    </row>
    <row r="655" spans="6:8" ht="13" x14ac:dyDescent="0.15">
      <c r="F655" s="13"/>
      <c r="G655" s="13"/>
      <c r="H655" s="13"/>
    </row>
    <row r="656" spans="6:8" ht="13" x14ac:dyDescent="0.15">
      <c r="F656" s="13"/>
      <c r="G656" s="13"/>
      <c r="H656" s="13"/>
    </row>
    <row r="657" spans="6:8" ht="13" x14ac:dyDescent="0.15">
      <c r="F657" s="13"/>
      <c r="G657" s="13"/>
      <c r="H657" s="13"/>
    </row>
    <row r="658" spans="6:8" ht="13" x14ac:dyDescent="0.15">
      <c r="F658" s="13"/>
      <c r="G658" s="13"/>
      <c r="H658" s="13"/>
    </row>
    <row r="659" spans="6:8" ht="13" x14ac:dyDescent="0.15">
      <c r="F659" s="13"/>
      <c r="G659" s="13"/>
      <c r="H659" s="13"/>
    </row>
    <row r="660" spans="6:8" ht="13" x14ac:dyDescent="0.15">
      <c r="F660" s="13"/>
      <c r="G660" s="13"/>
      <c r="H660" s="13"/>
    </row>
    <row r="661" spans="6:8" ht="13" x14ac:dyDescent="0.15">
      <c r="F661" s="13"/>
      <c r="G661" s="13"/>
      <c r="H661" s="13"/>
    </row>
    <row r="662" spans="6:8" ht="13" x14ac:dyDescent="0.15">
      <c r="F662" s="13"/>
      <c r="G662" s="13"/>
      <c r="H662" s="13"/>
    </row>
    <row r="663" spans="6:8" ht="13" x14ac:dyDescent="0.15">
      <c r="F663" s="13"/>
      <c r="G663" s="13"/>
      <c r="H663" s="13"/>
    </row>
    <row r="664" spans="6:8" ht="13" x14ac:dyDescent="0.15">
      <c r="F664" s="13"/>
      <c r="G664" s="13"/>
      <c r="H664" s="13"/>
    </row>
    <row r="665" spans="6:8" ht="13" x14ac:dyDescent="0.15">
      <c r="F665" s="13"/>
      <c r="G665" s="13"/>
      <c r="H665" s="13"/>
    </row>
    <row r="666" spans="6:8" ht="13" x14ac:dyDescent="0.15">
      <c r="F666" s="13"/>
      <c r="G666" s="13"/>
      <c r="H666" s="13"/>
    </row>
    <row r="667" spans="6:8" ht="13" x14ac:dyDescent="0.15">
      <c r="F667" s="13"/>
      <c r="G667" s="13"/>
      <c r="H667" s="13"/>
    </row>
    <row r="668" spans="6:8" ht="13" x14ac:dyDescent="0.15">
      <c r="F668" s="13"/>
      <c r="G668" s="13"/>
      <c r="H668" s="13"/>
    </row>
    <row r="669" spans="6:8" ht="13" x14ac:dyDescent="0.15">
      <c r="F669" s="13"/>
      <c r="G669" s="13"/>
      <c r="H669" s="13"/>
    </row>
    <row r="670" spans="6:8" ht="13" x14ac:dyDescent="0.15">
      <c r="F670" s="13"/>
      <c r="G670" s="13"/>
      <c r="H670" s="13"/>
    </row>
    <row r="671" spans="6:8" ht="13" x14ac:dyDescent="0.15">
      <c r="F671" s="13"/>
      <c r="G671" s="13"/>
      <c r="H671" s="13"/>
    </row>
    <row r="672" spans="6:8" ht="13" x14ac:dyDescent="0.15">
      <c r="F672" s="13"/>
      <c r="G672" s="13"/>
      <c r="H672" s="13"/>
    </row>
    <row r="673" spans="6:8" ht="13" x14ac:dyDescent="0.15">
      <c r="F673" s="13"/>
      <c r="G673" s="13"/>
      <c r="H673" s="13"/>
    </row>
    <row r="674" spans="6:8" ht="13" x14ac:dyDescent="0.15">
      <c r="F674" s="13"/>
      <c r="G674" s="13"/>
      <c r="H674" s="13"/>
    </row>
    <row r="675" spans="6:8" ht="13" x14ac:dyDescent="0.15">
      <c r="F675" s="13"/>
      <c r="G675" s="13"/>
      <c r="H675" s="13"/>
    </row>
    <row r="676" spans="6:8" ht="13" x14ac:dyDescent="0.15">
      <c r="F676" s="13"/>
      <c r="G676" s="13"/>
      <c r="H676" s="13"/>
    </row>
    <row r="677" spans="6:8" ht="13" x14ac:dyDescent="0.15">
      <c r="F677" s="13"/>
      <c r="G677" s="13"/>
      <c r="H677" s="13"/>
    </row>
    <row r="678" spans="6:8" ht="13" x14ac:dyDescent="0.15">
      <c r="F678" s="13"/>
      <c r="G678" s="13"/>
      <c r="H678" s="13"/>
    </row>
    <row r="679" spans="6:8" ht="13" x14ac:dyDescent="0.15">
      <c r="F679" s="13"/>
      <c r="G679" s="13"/>
      <c r="H679" s="13"/>
    </row>
    <row r="680" spans="6:8" ht="13" x14ac:dyDescent="0.15">
      <c r="F680" s="13"/>
      <c r="G680" s="13"/>
      <c r="H680" s="13"/>
    </row>
    <row r="681" spans="6:8" ht="13" x14ac:dyDescent="0.15">
      <c r="F681" s="13"/>
      <c r="G681" s="13"/>
      <c r="H681" s="13"/>
    </row>
    <row r="682" spans="6:8" ht="13" x14ac:dyDescent="0.15">
      <c r="F682" s="13"/>
      <c r="G682" s="13"/>
      <c r="H682" s="13"/>
    </row>
    <row r="683" spans="6:8" ht="13" x14ac:dyDescent="0.15">
      <c r="F683" s="13"/>
      <c r="G683" s="13"/>
      <c r="H683" s="13"/>
    </row>
    <row r="684" spans="6:8" ht="13" x14ac:dyDescent="0.15">
      <c r="F684" s="13"/>
      <c r="G684" s="13"/>
      <c r="H684" s="13"/>
    </row>
    <row r="685" spans="6:8" ht="13" x14ac:dyDescent="0.15">
      <c r="F685" s="13"/>
      <c r="G685" s="13"/>
      <c r="H685" s="13"/>
    </row>
    <row r="686" spans="6:8" ht="13" x14ac:dyDescent="0.15">
      <c r="F686" s="13"/>
      <c r="G686" s="13"/>
      <c r="H686" s="13"/>
    </row>
    <row r="687" spans="6:8" ht="13" x14ac:dyDescent="0.15">
      <c r="F687" s="13"/>
      <c r="G687" s="13"/>
      <c r="H687" s="13"/>
    </row>
    <row r="688" spans="6:8" ht="13" x14ac:dyDescent="0.15">
      <c r="F688" s="13"/>
      <c r="G688" s="13"/>
      <c r="H688" s="13"/>
    </row>
    <row r="689" spans="6:8" ht="13" x14ac:dyDescent="0.15">
      <c r="F689" s="13"/>
      <c r="G689" s="13"/>
      <c r="H689" s="13"/>
    </row>
    <row r="690" spans="6:8" ht="13" x14ac:dyDescent="0.15">
      <c r="F690" s="13"/>
      <c r="G690" s="13"/>
      <c r="H690" s="13"/>
    </row>
    <row r="691" spans="6:8" ht="13" x14ac:dyDescent="0.15">
      <c r="F691" s="13"/>
      <c r="G691" s="13"/>
      <c r="H691" s="13"/>
    </row>
    <row r="692" spans="6:8" ht="13" x14ac:dyDescent="0.15">
      <c r="F692" s="13"/>
      <c r="G692" s="13"/>
      <c r="H692" s="13"/>
    </row>
    <row r="693" spans="6:8" ht="13" x14ac:dyDescent="0.15">
      <c r="F693" s="13"/>
      <c r="G693" s="13"/>
      <c r="H693" s="13"/>
    </row>
    <row r="694" spans="6:8" ht="13" x14ac:dyDescent="0.15">
      <c r="F694" s="13"/>
      <c r="G694" s="13"/>
      <c r="H694" s="13"/>
    </row>
    <row r="695" spans="6:8" ht="13" x14ac:dyDescent="0.15">
      <c r="F695" s="13"/>
      <c r="G695" s="13"/>
      <c r="H695" s="13"/>
    </row>
    <row r="696" spans="6:8" ht="13" x14ac:dyDescent="0.15">
      <c r="F696" s="13"/>
      <c r="G696" s="13"/>
      <c r="H696" s="13"/>
    </row>
    <row r="697" spans="6:8" ht="13" x14ac:dyDescent="0.15">
      <c r="F697" s="13"/>
      <c r="G697" s="13"/>
      <c r="H697" s="13"/>
    </row>
    <row r="698" spans="6:8" ht="13" x14ac:dyDescent="0.15">
      <c r="F698" s="13"/>
      <c r="G698" s="13"/>
      <c r="H698" s="13"/>
    </row>
    <row r="699" spans="6:8" ht="13" x14ac:dyDescent="0.15">
      <c r="F699" s="13"/>
      <c r="G699" s="13"/>
      <c r="H699" s="13"/>
    </row>
    <row r="700" spans="6:8" ht="13" x14ac:dyDescent="0.15">
      <c r="F700" s="13"/>
      <c r="G700" s="13"/>
      <c r="H700" s="13"/>
    </row>
    <row r="701" spans="6:8" ht="13" x14ac:dyDescent="0.15">
      <c r="F701" s="13"/>
      <c r="G701" s="13"/>
      <c r="H701" s="13"/>
    </row>
    <row r="702" spans="6:8" ht="13" x14ac:dyDescent="0.15">
      <c r="F702" s="13"/>
      <c r="G702" s="13"/>
      <c r="H702" s="13"/>
    </row>
    <row r="703" spans="6:8" ht="13" x14ac:dyDescent="0.15">
      <c r="F703" s="13"/>
      <c r="G703" s="13"/>
      <c r="H703" s="13"/>
    </row>
    <row r="704" spans="6:8" ht="13" x14ac:dyDescent="0.15">
      <c r="F704" s="13"/>
      <c r="G704" s="13"/>
      <c r="H704" s="13"/>
    </row>
    <row r="705" spans="6:8" ht="13" x14ac:dyDescent="0.15">
      <c r="F705" s="13"/>
      <c r="G705" s="13"/>
      <c r="H705" s="13"/>
    </row>
    <row r="706" spans="6:8" ht="13" x14ac:dyDescent="0.15">
      <c r="F706" s="13"/>
      <c r="G706" s="13"/>
      <c r="H706" s="13"/>
    </row>
    <row r="707" spans="6:8" ht="13" x14ac:dyDescent="0.15">
      <c r="F707" s="13"/>
      <c r="G707" s="13"/>
      <c r="H707" s="13"/>
    </row>
    <row r="708" spans="6:8" ht="13" x14ac:dyDescent="0.15">
      <c r="F708" s="13"/>
      <c r="G708" s="13"/>
      <c r="H708" s="13"/>
    </row>
    <row r="709" spans="6:8" ht="13" x14ac:dyDescent="0.15">
      <c r="F709" s="13"/>
      <c r="G709" s="13"/>
      <c r="H709" s="13"/>
    </row>
    <row r="710" spans="6:8" ht="13" x14ac:dyDescent="0.15">
      <c r="F710" s="13"/>
      <c r="G710" s="13"/>
      <c r="H710" s="13"/>
    </row>
    <row r="711" spans="6:8" ht="13" x14ac:dyDescent="0.15">
      <c r="F711" s="13"/>
      <c r="G711" s="13"/>
      <c r="H711" s="13"/>
    </row>
    <row r="712" spans="6:8" ht="13" x14ac:dyDescent="0.15">
      <c r="F712" s="13"/>
      <c r="G712" s="13"/>
      <c r="H712" s="13"/>
    </row>
    <row r="713" spans="6:8" ht="13" x14ac:dyDescent="0.15">
      <c r="F713" s="13"/>
      <c r="G713" s="13"/>
      <c r="H713" s="13"/>
    </row>
    <row r="714" spans="6:8" ht="13" x14ac:dyDescent="0.15">
      <c r="F714" s="13"/>
      <c r="G714" s="13"/>
      <c r="H714" s="13"/>
    </row>
    <row r="715" spans="6:8" ht="13" x14ac:dyDescent="0.15">
      <c r="F715" s="13"/>
      <c r="G715" s="13"/>
      <c r="H715" s="13"/>
    </row>
    <row r="716" spans="6:8" ht="13" x14ac:dyDescent="0.15">
      <c r="F716" s="13"/>
      <c r="G716" s="13"/>
      <c r="H716" s="13"/>
    </row>
    <row r="717" spans="6:8" ht="13" x14ac:dyDescent="0.15">
      <c r="F717" s="13"/>
      <c r="G717" s="13"/>
      <c r="H717" s="13"/>
    </row>
    <row r="718" spans="6:8" ht="13" x14ac:dyDescent="0.15">
      <c r="F718" s="13"/>
      <c r="G718" s="13"/>
      <c r="H718" s="13"/>
    </row>
    <row r="719" spans="6:8" ht="13" x14ac:dyDescent="0.15">
      <c r="F719" s="13"/>
      <c r="G719" s="13"/>
      <c r="H719" s="13"/>
    </row>
    <row r="720" spans="6:8" ht="13" x14ac:dyDescent="0.15">
      <c r="F720" s="13"/>
      <c r="G720" s="13"/>
      <c r="H720" s="13"/>
    </row>
    <row r="721" spans="6:8" ht="13" x14ac:dyDescent="0.15">
      <c r="F721" s="13"/>
      <c r="G721" s="13"/>
      <c r="H721" s="13"/>
    </row>
    <row r="722" spans="6:8" ht="13" x14ac:dyDescent="0.15">
      <c r="F722" s="13"/>
      <c r="G722" s="13"/>
      <c r="H722" s="13"/>
    </row>
    <row r="723" spans="6:8" ht="13" x14ac:dyDescent="0.15">
      <c r="F723" s="13"/>
      <c r="G723" s="13"/>
      <c r="H723" s="13"/>
    </row>
    <row r="724" spans="6:8" ht="13" x14ac:dyDescent="0.15">
      <c r="F724" s="13"/>
      <c r="G724" s="13"/>
      <c r="H724" s="13"/>
    </row>
    <row r="725" spans="6:8" ht="13" x14ac:dyDescent="0.15">
      <c r="F725" s="13"/>
      <c r="G725" s="13"/>
      <c r="H725" s="13"/>
    </row>
    <row r="726" spans="6:8" ht="13" x14ac:dyDescent="0.15">
      <c r="F726" s="13"/>
      <c r="G726" s="13"/>
      <c r="H726" s="13"/>
    </row>
    <row r="727" spans="6:8" ht="13" x14ac:dyDescent="0.15">
      <c r="F727" s="13"/>
      <c r="G727" s="13"/>
      <c r="H727" s="13"/>
    </row>
    <row r="728" spans="6:8" ht="13" x14ac:dyDescent="0.15">
      <c r="F728" s="13"/>
      <c r="G728" s="13"/>
      <c r="H728" s="13"/>
    </row>
    <row r="729" spans="6:8" ht="13" x14ac:dyDescent="0.15">
      <c r="F729" s="13"/>
      <c r="G729" s="13"/>
      <c r="H729" s="13"/>
    </row>
    <row r="730" spans="6:8" ht="13" x14ac:dyDescent="0.15">
      <c r="F730" s="13"/>
      <c r="G730" s="13"/>
      <c r="H730" s="13"/>
    </row>
    <row r="731" spans="6:8" ht="13" x14ac:dyDescent="0.15">
      <c r="F731" s="13"/>
      <c r="G731" s="13"/>
      <c r="H731" s="13"/>
    </row>
    <row r="732" spans="6:8" ht="13" x14ac:dyDescent="0.15">
      <c r="F732" s="13"/>
      <c r="G732" s="13"/>
      <c r="H732" s="13"/>
    </row>
    <row r="733" spans="6:8" ht="13" x14ac:dyDescent="0.15">
      <c r="F733" s="13"/>
      <c r="G733" s="13"/>
      <c r="H733" s="13"/>
    </row>
    <row r="734" spans="6:8" ht="13" x14ac:dyDescent="0.15">
      <c r="F734" s="13"/>
      <c r="G734" s="13"/>
      <c r="H734" s="13"/>
    </row>
    <row r="735" spans="6:8" ht="13" x14ac:dyDescent="0.15">
      <c r="F735" s="13"/>
      <c r="G735" s="13"/>
      <c r="H735" s="13"/>
    </row>
    <row r="736" spans="6:8" ht="13" x14ac:dyDescent="0.15">
      <c r="F736" s="13"/>
      <c r="G736" s="13"/>
      <c r="H736" s="13"/>
    </row>
    <row r="737" spans="6:8" ht="13" x14ac:dyDescent="0.15">
      <c r="F737" s="13"/>
      <c r="G737" s="13"/>
      <c r="H737" s="13"/>
    </row>
    <row r="738" spans="6:8" ht="13" x14ac:dyDescent="0.15">
      <c r="F738" s="13"/>
      <c r="G738" s="13"/>
      <c r="H738" s="13"/>
    </row>
    <row r="739" spans="6:8" ht="13" x14ac:dyDescent="0.15">
      <c r="F739" s="13"/>
      <c r="G739" s="13"/>
      <c r="H739" s="13"/>
    </row>
    <row r="740" spans="6:8" ht="13" x14ac:dyDescent="0.15">
      <c r="F740" s="13"/>
      <c r="G740" s="13"/>
      <c r="H740" s="13"/>
    </row>
    <row r="741" spans="6:8" ht="13" x14ac:dyDescent="0.15">
      <c r="F741" s="13"/>
      <c r="G741" s="13"/>
      <c r="H741" s="13"/>
    </row>
    <row r="742" spans="6:8" ht="13" x14ac:dyDescent="0.15">
      <c r="F742" s="13"/>
      <c r="G742" s="13"/>
      <c r="H742" s="13"/>
    </row>
    <row r="743" spans="6:8" ht="13" x14ac:dyDescent="0.15">
      <c r="F743" s="13"/>
      <c r="G743" s="13"/>
      <c r="H743" s="13"/>
    </row>
    <row r="744" spans="6:8" ht="13" x14ac:dyDescent="0.15">
      <c r="F744" s="13"/>
      <c r="G744" s="13"/>
      <c r="H744" s="13"/>
    </row>
    <row r="745" spans="6:8" ht="13" x14ac:dyDescent="0.15">
      <c r="F745" s="13"/>
      <c r="G745" s="13"/>
      <c r="H745" s="13"/>
    </row>
    <row r="746" spans="6:8" ht="13" x14ac:dyDescent="0.15">
      <c r="F746" s="13"/>
      <c r="G746" s="13"/>
      <c r="H746" s="13"/>
    </row>
    <row r="747" spans="6:8" ht="13" x14ac:dyDescent="0.15">
      <c r="F747" s="13"/>
      <c r="G747" s="13"/>
      <c r="H747" s="13"/>
    </row>
    <row r="748" spans="6:8" ht="13" x14ac:dyDescent="0.15">
      <c r="F748" s="13"/>
      <c r="G748" s="13"/>
      <c r="H748" s="13"/>
    </row>
    <row r="749" spans="6:8" ht="13" x14ac:dyDescent="0.15">
      <c r="F749" s="13"/>
      <c r="G749" s="13"/>
      <c r="H749" s="13"/>
    </row>
    <row r="750" spans="6:8" ht="13" x14ac:dyDescent="0.15">
      <c r="F750" s="13"/>
      <c r="G750" s="13"/>
      <c r="H750" s="13"/>
    </row>
    <row r="751" spans="6:8" ht="13" x14ac:dyDescent="0.15">
      <c r="F751" s="13"/>
      <c r="G751" s="13"/>
      <c r="H751" s="13"/>
    </row>
    <row r="752" spans="6:8" ht="13" x14ac:dyDescent="0.15">
      <c r="F752" s="13"/>
      <c r="G752" s="13"/>
      <c r="H752" s="13"/>
    </row>
    <row r="753" spans="6:8" ht="13" x14ac:dyDescent="0.15">
      <c r="F753" s="13"/>
      <c r="G753" s="13"/>
      <c r="H753" s="13"/>
    </row>
    <row r="754" spans="6:8" ht="13" x14ac:dyDescent="0.15">
      <c r="F754" s="13"/>
      <c r="G754" s="13"/>
      <c r="H754" s="13"/>
    </row>
    <row r="755" spans="6:8" ht="13" x14ac:dyDescent="0.15">
      <c r="F755" s="13"/>
      <c r="G755" s="13"/>
      <c r="H755" s="13"/>
    </row>
    <row r="756" spans="6:8" ht="13" x14ac:dyDescent="0.15">
      <c r="F756" s="13"/>
      <c r="G756" s="13"/>
      <c r="H756" s="13"/>
    </row>
    <row r="757" spans="6:8" ht="13" x14ac:dyDescent="0.15">
      <c r="F757" s="13"/>
      <c r="G757" s="13"/>
      <c r="H757" s="13"/>
    </row>
    <row r="758" spans="6:8" ht="13" x14ac:dyDescent="0.15">
      <c r="F758" s="13"/>
      <c r="G758" s="13"/>
      <c r="H758" s="13"/>
    </row>
    <row r="759" spans="6:8" ht="13" x14ac:dyDescent="0.15">
      <c r="F759" s="13"/>
      <c r="G759" s="13"/>
      <c r="H759" s="13"/>
    </row>
    <row r="760" spans="6:8" ht="13" x14ac:dyDescent="0.15">
      <c r="F760" s="13"/>
      <c r="G760" s="13"/>
      <c r="H760" s="13"/>
    </row>
    <row r="761" spans="6:8" ht="13" x14ac:dyDescent="0.15">
      <c r="F761" s="13"/>
      <c r="G761" s="13"/>
      <c r="H761" s="13"/>
    </row>
    <row r="762" spans="6:8" ht="13" x14ac:dyDescent="0.15">
      <c r="F762" s="13"/>
      <c r="G762" s="13"/>
      <c r="H762" s="13"/>
    </row>
    <row r="763" spans="6:8" ht="13" x14ac:dyDescent="0.15">
      <c r="F763" s="13"/>
      <c r="G763" s="13"/>
      <c r="H763" s="13"/>
    </row>
    <row r="764" spans="6:8" ht="13" x14ac:dyDescent="0.15">
      <c r="F764" s="13"/>
      <c r="G764" s="13"/>
      <c r="H764" s="13"/>
    </row>
    <row r="765" spans="6:8" ht="13" x14ac:dyDescent="0.15">
      <c r="F765" s="13"/>
      <c r="G765" s="13"/>
      <c r="H765" s="13"/>
    </row>
    <row r="766" spans="6:8" ht="13" x14ac:dyDescent="0.15">
      <c r="F766" s="13"/>
      <c r="G766" s="13"/>
      <c r="H766" s="13"/>
    </row>
    <row r="767" spans="6:8" ht="13" x14ac:dyDescent="0.15">
      <c r="F767" s="13"/>
      <c r="G767" s="13"/>
      <c r="H767" s="13"/>
    </row>
    <row r="768" spans="6:8" ht="13" x14ac:dyDescent="0.15">
      <c r="F768" s="13"/>
      <c r="G768" s="13"/>
      <c r="H768" s="13"/>
    </row>
    <row r="769" spans="6:8" ht="13" x14ac:dyDescent="0.15">
      <c r="F769" s="13"/>
      <c r="G769" s="13"/>
      <c r="H769" s="13"/>
    </row>
    <row r="770" spans="6:8" ht="13" x14ac:dyDescent="0.15">
      <c r="F770" s="13"/>
      <c r="G770" s="13"/>
      <c r="H770" s="13"/>
    </row>
    <row r="771" spans="6:8" ht="13" x14ac:dyDescent="0.15">
      <c r="F771" s="13"/>
      <c r="G771" s="13"/>
      <c r="H771" s="13"/>
    </row>
    <row r="772" spans="6:8" ht="13" x14ac:dyDescent="0.15">
      <c r="F772" s="13"/>
      <c r="G772" s="13"/>
      <c r="H772" s="13"/>
    </row>
    <row r="773" spans="6:8" ht="13" x14ac:dyDescent="0.15">
      <c r="F773" s="13"/>
      <c r="G773" s="13"/>
      <c r="H773" s="13"/>
    </row>
    <row r="774" spans="6:8" ht="13" x14ac:dyDescent="0.15">
      <c r="F774" s="13"/>
      <c r="G774" s="13"/>
      <c r="H774" s="13"/>
    </row>
    <row r="775" spans="6:8" ht="13" x14ac:dyDescent="0.15">
      <c r="F775" s="13"/>
      <c r="G775" s="13"/>
      <c r="H775" s="13"/>
    </row>
    <row r="776" spans="6:8" ht="13" x14ac:dyDescent="0.15">
      <c r="F776" s="13"/>
      <c r="G776" s="13"/>
      <c r="H776" s="13"/>
    </row>
    <row r="777" spans="6:8" ht="13" x14ac:dyDescent="0.15">
      <c r="F777" s="13"/>
      <c r="G777" s="13"/>
      <c r="H777" s="13"/>
    </row>
    <row r="778" spans="6:8" ht="13" x14ac:dyDescent="0.15">
      <c r="F778" s="13"/>
      <c r="G778" s="13"/>
      <c r="H778" s="13"/>
    </row>
    <row r="779" spans="6:8" ht="13" x14ac:dyDescent="0.15">
      <c r="F779" s="13"/>
      <c r="G779" s="13"/>
      <c r="H779" s="13"/>
    </row>
    <row r="780" spans="6:8" ht="13" x14ac:dyDescent="0.15">
      <c r="F780" s="13"/>
      <c r="G780" s="13"/>
      <c r="H780" s="13"/>
    </row>
    <row r="781" spans="6:8" ht="13" x14ac:dyDescent="0.15">
      <c r="F781" s="13"/>
      <c r="G781" s="13"/>
      <c r="H781" s="13"/>
    </row>
    <row r="782" spans="6:8" ht="13" x14ac:dyDescent="0.15">
      <c r="F782" s="13"/>
      <c r="G782" s="13"/>
      <c r="H782" s="13"/>
    </row>
    <row r="783" spans="6:8" ht="13" x14ac:dyDescent="0.15">
      <c r="F783" s="13"/>
      <c r="G783" s="13"/>
      <c r="H783" s="13"/>
    </row>
    <row r="784" spans="6:8" ht="13" x14ac:dyDescent="0.15">
      <c r="F784" s="13"/>
      <c r="G784" s="13"/>
      <c r="H784" s="13"/>
    </row>
    <row r="785" spans="6:8" ht="13" x14ac:dyDescent="0.15">
      <c r="F785" s="13"/>
      <c r="G785" s="13"/>
      <c r="H785" s="13"/>
    </row>
    <row r="786" spans="6:8" ht="13" x14ac:dyDescent="0.15">
      <c r="F786" s="13"/>
      <c r="G786" s="13"/>
      <c r="H786" s="13"/>
    </row>
    <row r="787" spans="6:8" ht="13" x14ac:dyDescent="0.15">
      <c r="F787" s="13"/>
      <c r="G787" s="13"/>
      <c r="H787" s="13"/>
    </row>
    <row r="788" spans="6:8" ht="13" x14ac:dyDescent="0.15">
      <c r="F788" s="13"/>
      <c r="G788" s="13"/>
      <c r="H788" s="13"/>
    </row>
    <row r="789" spans="6:8" ht="13" x14ac:dyDescent="0.15">
      <c r="F789" s="13"/>
      <c r="G789" s="13"/>
      <c r="H789" s="13"/>
    </row>
    <row r="790" spans="6:8" ht="13" x14ac:dyDescent="0.15">
      <c r="F790" s="13"/>
      <c r="G790" s="13"/>
      <c r="H790" s="13"/>
    </row>
    <row r="791" spans="6:8" ht="13" x14ac:dyDescent="0.15">
      <c r="F791" s="13"/>
      <c r="G791" s="13"/>
      <c r="H791" s="13"/>
    </row>
    <row r="792" spans="6:8" ht="13" x14ac:dyDescent="0.15">
      <c r="F792" s="13"/>
      <c r="G792" s="13"/>
      <c r="H792" s="13"/>
    </row>
    <row r="793" spans="6:8" ht="13" x14ac:dyDescent="0.15">
      <c r="F793" s="13"/>
      <c r="G793" s="13"/>
      <c r="H793" s="13"/>
    </row>
    <row r="794" spans="6:8" ht="13" x14ac:dyDescent="0.15">
      <c r="F794" s="13"/>
      <c r="G794" s="13"/>
      <c r="H794" s="13"/>
    </row>
    <row r="795" spans="6:8" ht="13" x14ac:dyDescent="0.15">
      <c r="F795" s="13"/>
      <c r="G795" s="13"/>
      <c r="H795" s="13"/>
    </row>
    <row r="796" spans="6:8" ht="13" x14ac:dyDescent="0.15">
      <c r="F796" s="13"/>
      <c r="G796" s="13"/>
      <c r="H796" s="13"/>
    </row>
    <row r="797" spans="6:8" ht="13" x14ac:dyDescent="0.15">
      <c r="F797" s="13"/>
      <c r="G797" s="13"/>
      <c r="H797" s="13"/>
    </row>
    <row r="798" spans="6:8" ht="13" x14ac:dyDescent="0.15">
      <c r="F798" s="13"/>
      <c r="G798" s="13"/>
      <c r="H798" s="13"/>
    </row>
    <row r="799" spans="6:8" ht="13" x14ac:dyDescent="0.15">
      <c r="F799" s="13"/>
      <c r="G799" s="13"/>
      <c r="H799" s="13"/>
    </row>
    <row r="800" spans="6:8" ht="13" x14ac:dyDescent="0.15">
      <c r="F800" s="13"/>
      <c r="G800" s="13"/>
      <c r="H800" s="13"/>
    </row>
    <row r="801" spans="6:8" ht="13" x14ac:dyDescent="0.15">
      <c r="F801" s="13"/>
      <c r="G801" s="13"/>
      <c r="H801" s="13"/>
    </row>
    <row r="802" spans="6:8" ht="13" x14ac:dyDescent="0.15">
      <c r="F802" s="13"/>
      <c r="G802" s="13"/>
      <c r="H802" s="13"/>
    </row>
    <row r="803" spans="6:8" ht="13" x14ac:dyDescent="0.15">
      <c r="F803" s="13"/>
      <c r="G803" s="13"/>
      <c r="H803" s="13"/>
    </row>
    <row r="804" spans="6:8" ht="13" x14ac:dyDescent="0.15">
      <c r="F804" s="13"/>
      <c r="G804" s="13"/>
      <c r="H804" s="13"/>
    </row>
    <row r="805" spans="6:8" ht="13" x14ac:dyDescent="0.15">
      <c r="F805" s="13"/>
      <c r="G805" s="13"/>
      <c r="H805" s="13"/>
    </row>
    <row r="806" spans="6:8" ht="13" x14ac:dyDescent="0.15">
      <c r="F806" s="13"/>
      <c r="G806" s="13"/>
      <c r="H806" s="13"/>
    </row>
    <row r="807" spans="6:8" ht="13" x14ac:dyDescent="0.15">
      <c r="F807" s="13"/>
      <c r="G807" s="13"/>
      <c r="H807" s="13"/>
    </row>
    <row r="808" spans="6:8" ht="13" x14ac:dyDescent="0.15">
      <c r="F808" s="13"/>
      <c r="G808" s="13"/>
      <c r="H808" s="13"/>
    </row>
    <row r="809" spans="6:8" ht="13" x14ac:dyDescent="0.15">
      <c r="F809" s="13"/>
      <c r="G809" s="13"/>
      <c r="H809" s="13"/>
    </row>
    <row r="810" spans="6:8" ht="13" x14ac:dyDescent="0.15">
      <c r="F810" s="13"/>
      <c r="G810" s="13"/>
      <c r="H810" s="13"/>
    </row>
    <row r="811" spans="6:8" ht="13" x14ac:dyDescent="0.15">
      <c r="F811" s="13"/>
      <c r="G811" s="13"/>
      <c r="H811" s="13"/>
    </row>
    <row r="812" spans="6:8" ht="13" x14ac:dyDescent="0.15">
      <c r="F812" s="13"/>
      <c r="G812" s="13"/>
      <c r="H812" s="13"/>
    </row>
    <row r="813" spans="6:8" ht="13" x14ac:dyDescent="0.15">
      <c r="F813" s="13"/>
      <c r="G813" s="13"/>
      <c r="H813" s="13"/>
    </row>
    <row r="814" spans="6:8" ht="13" x14ac:dyDescent="0.15">
      <c r="F814" s="13"/>
      <c r="G814" s="13"/>
      <c r="H814" s="13"/>
    </row>
    <row r="815" spans="6:8" ht="13" x14ac:dyDescent="0.15">
      <c r="F815" s="13"/>
      <c r="G815" s="13"/>
      <c r="H815" s="13"/>
    </row>
    <row r="816" spans="6:8" ht="13" x14ac:dyDescent="0.15">
      <c r="F816" s="13"/>
      <c r="G816" s="13"/>
      <c r="H816" s="13"/>
    </row>
    <row r="817" spans="6:8" ht="13" x14ac:dyDescent="0.15">
      <c r="F817" s="13"/>
      <c r="G817" s="13"/>
      <c r="H817" s="13"/>
    </row>
    <row r="818" spans="6:8" ht="13" x14ac:dyDescent="0.15">
      <c r="F818" s="13"/>
      <c r="G818" s="13"/>
      <c r="H818" s="13"/>
    </row>
    <row r="819" spans="6:8" ht="13" x14ac:dyDescent="0.15">
      <c r="F819" s="13"/>
      <c r="G819" s="13"/>
      <c r="H819" s="13"/>
    </row>
    <row r="820" spans="6:8" ht="13" x14ac:dyDescent="0.15">
      <c r="F820" s="13"/>
      <c r="G820" s="13"/>
      <c r="H820" s="13"/>
    </row>
    <row r="821" spans="6:8" ht="13" x14ac:dyDescent="0.15">
      <c r="F821" s="13"/>
      <c r="G821" s="13"/>
      <c r="H821" s="13"/>
    </row>
    <row r="822" spans="6:8" ht="13" x14ac:dyDescent="0.15">
      <c r="F822" s="13"/>
      <c r="G822" s="13"/>
      <c r="H822" s="13"/>
    </row>
    <row r="823" spans="6:8" ht="13" x14ac:dyDescent="0.15">
      <c r="F823" s="13"/>
      <c r="G823" s="13"/>
      <c r="H823" s="13"/>
    </row>
    <row r="824" spans="6:8" ht="13" x14ac:dyDescent="0.15">
      <c r="F824" s="13"/>
      <c r="G824" s="13"/>
      <c r="H824" s="13"/>
    </row>
    <row r="825" spans="6:8" ht="13" x14ac:dyDescent="0.15">
      <c r="F825" s="13"/>
      <c r="G825" s="13"/>
      <c r="H825" s="13"/>
    </row>
    <row r="826" spans="6:8" ht="13" x14ac:dyDescent="0.15">
      <c r="F826" s="13"/>
      <c r="G826" s="13"/>
      <c r="H826" s="13"/>
    </row>
    <row r="827" spans="6:8" ht="13" x14ac:dyDescent="0.15">
      <c r="F827" s="13"/>
      <c r="G827" s="13"/>
      <c r="H827" s="13"/>
    </row>
    <row r="828" spans="6:8" ht="13" x14ac:dyDescent="0.15">
      <c r="F828" s="13"/>
      <c r="G828" s="13"/>
      <c r="H828" s="13"/>
    </row>
    <row r="829" spans="6:8" ht="13" x14ac:dyDescent="0.15">
      <c r="F829" s="13"/>
      <c r="G829" s="13"/>
      <c r="H829" s="13"/>
    </row>
    <row r="830" spans="6:8" ht="13" x14ac:dyDescent="0.15">
      <c r="F830" s="13"/>
      <c r="G830" s="13"/>
      <c r="H830" s="13"/>
    </row>
    <row r="831" spans="6:8" ht="13" x14ac:dyDescent="0.15">
      <c r="F831" s="13"/>
      <c r="G831" s="13"/>
      <c r="H831" s="13"/>
    </row>
    <row r="832" spans="6:8" ht="13" x14ac:dyDescent="0.15">
      <c r="F832" s="13"/>
      <c r="G832" s="13"/>
      <c r="H832" s="13"/>
    </row>
    <row r="833" spans="6:8" ht="13" x14ac:dyDescent="0.15">
      <c r="F833" s="13"/>
      <c r="G833" s="13"/>
      <c r="H833" s="13"/>
    </row>
    <row r="834" spans="6:8" ht="13" x14ac:dyDescent="0.15">
      <c r="F834" s="13"/>
      <c r="G834" s="13"/>
      <c r="H834" s="13"/>
    </row>
    <row r="835" spans="6:8" ht="13" x14ac:dyDescent="0.15">
      <c r="F835" s="13"/>
      <c r="G835" s="13"/>
      <c r="H835" s="13"/>
    </row>
    <row r="836" spans="6:8" ht="13" x14ac:dyDescent="0.15">
      <c r="F836" s="13"/>
      <c r="G836" s="13"/>
      <c r="H836" s="13"/>
    </row>
    <row r="837" spans="6:8" ht="13" x14ac:dyDescent="0.15">
      <c r="F837" s="13"/>
      <c r="G837" s="13"/>
      <c r="H837" s="13"/>
    </row>
    <row r="838" spans="6:8" ht="13" x14ac:dyDescent="0.15">
      <c r="F838" s="13"/>
      <c r="G838" s="13"/>
      <c r="H838" s="13"/>
    </row>
    <row r="839" spans="6:8" ht="13" x14ac:dyDescent="0.15">
      <c r="F839" s="13"/>
      <c r="G839" s="13"/>
      <c r="H839" s="13"/>
    </row>
    <row r="840" spans="6:8" ht="13" x14ac:dyDescent="0.15">
      <c r="F840" s="13"/>
      <c r="G840" s="13"/>
      <c r="H840" s="13"/>
    </row>
    <row r="841" spans="6:8" ht="13" x14ac:dyDescent="0.15">
      <c r="F841" s="13"/>
      <c r="G841" s="13"/>
      <c r="H841" s="13"/>
    </row>
    <row r="842" spans="6:8" ht="13" x14ac:dyDescent="0.15">
      <c r="F842" s="13"/>
      <c r="G842" s="13"/>
      <c r="H842" s="13"/>
    </row>
    <row r="843" spans="6:8" ht="13" x14ac:dyDescent="0.15">
      <c r="F843" s="13"/>
      <c r="G843" s="13"/>
      <c r="H843" s="13"/>
    </row>
    <row r="844" spans="6:8" ht="13" x14ac:dyDescent="0.15">
      <c r="F844" s="13"/>
      <c r="G844" s="13"/>
      <c r="H844" s="13"/>
    </row>
    <row r="845" spans="6:8" ht="13" x14ac:dyDescent="0.15">
      <c r="F845" s="13"/>
      <c r="G845" s="13"/>
      <c r="H845" s="13"/>
    </row>
    <row r="846" spans="6:8" ht="13" x14ac:dyDescent="0.15">
      <c r="F846" s="13"/>
      <c r="G846" s="13"/>
      <c r="H846" s="13"/>
    </row>
    <row r="847" spans="6:8" ht="13" x14ac:dyDescent="0.15">
      <c r="F847" s="13"/>
      <c r="G847" s="13"/>
      <c r="H847" s="13"/>
    </row>
    <row r="848" spans="6:8" ht="13" x14ac:dyDescent="0.15">
      <c r="F848" s="13"/>
      <c r="G848" s="13"/>
      <c r="H848" s="13"/>
    </row>
    <row r="849" spans="6:8" ht="13" x14ac:dyDescent="0.15">
      <c r="F849" s="13"/>
      <c r="G849" s="13"/>
      <c r="H849" s="13"/>
    </row>
    <row r="850" spans="6:8" ht="13" x14ac:dyDescent="0.15">
      <c r="F850" s="13"/>
      <c r="G850" s="13"/>
      <c r="H850" s="13"/>
    </row>
    <row r="851" spans="6:8" ht="13" x14ac:dyDescent="0.15">
      <c r="F851" s="13"/>
      <c r="G851" s="13"/>
      <c r="H851" s="13"/>
    </row>
    <row r="852" spans="6:8" ht="13" x14ac:dyDescent="0.15">
      <c r="F852" s="13"/>
      <c r="G852" s="13"/>
      <c r="H852" s="13"/>
    </row>
    <row r="853" spans="6:8" ht="13" x14ac:dyDescent="0.15">
      <c r="F853" s="13"/>
      <c r="G853" s="13"/>
      <c r="H853" s="13"/>
    </row>
    <row r="854" spans="6:8" ht="13" x14ac:dyDescent="0.15">
      <c r="F854" s="13"/>
      <c r="G854" s="13"/>
      <c r="H854" s="13"/>
    </row>
    <row r="855" spans="6:8" ht="13" x14ac:dyDescent="0.15">
      <c r="F855" s="13"/>
      <c r="G855" s="13"/>
      <c r="H855" s="13"/>
    </row>
    <row r="856" spans="6:8" ht="13" x14ac:dyDescent="0.15">
      <c r="F856" s="13"/>
      <c r="G856" s="13"/>
      <c r="H856" s="13"/>
    </row>
    <row r="857" spans="6:8" ht="13" x14ac:dyDescent="0.15">
      <c r="F857" s="13"/>
      <c r="G857" s="13"/>
      <c r="H857" s="13"/>
    </row>
    <row r="858" spans="6:8" ht="13" x14ac:dyDescent="0.15">
      <c r="F858" s="13"/>
      <c r="G858" s="13"/>
      <c r="H858" s="13"/>
    </row>
    <row r="859" spans="6:8" ht="13" x14ac:dyDescent="0.15">
      <c r="F859" s="13"/>
      <c r="G859" s="13"/>
      <c r="H859" s="13"/>
    </row>
    <row r="860" spans="6:8" ht="13" x14ac:dyDescent="0.15">
      <c r="F860" s="13"/>
      <c r="G860" s="13"/>
      <c r="H860" s="13"/>
    </row>
    <row r="861" spans="6:8" ht="13" x14ac:dyDescent="0.15">
      <c r="F861" s="13"/>
      <c r="G861" s="13"/>
      <c r="H861" s="13"/>
    </row>
    <row r="862" spans="6:8" ht="13" x14ac:dyDescent="0.15">
      <c r="F862" s="13"/>
      <c r="G862" s="13"/>
      <c r="H862" s="13"/>
    </row>
    <row r="863" spans="6:8" ht="13" x14ac:dyDescent="0.15">
      <c r="F863" s="13"/>
      <c r="G863" s="13"/>
      <c r="H863" s="13"/>
    </row>
    <row r="864" spans="6:8" ht="13" x14ac:dyDescent="0.15">
      <c r="F864" s="13"/>
      <c r="G864" s="13"/>
      <c r="H864" s="13"/>
    </row>
    <row r="865" spans="6:8" ht="13" x14ac:dyDescent="0.15">
      <c r="F865" s="13"/>
      <c r="G865" s="13"/>
      <c r="H865" s="13"/>
    </row>
    <row r="866" spans="6:8" ht="13" x14ac:dyDescent="0.15">
      <c r="F866" s="13"/>
      <c r="G866" s="13"/>
      <c r="H866" s="13"/>
    </row>
    <row r="867" spans="6:8" ht="13" x14ac:dyDescent="0.15">
      <c r="F867" s="13"/>
      <c r="G867" s="13"/>
      <c r="H867" s="13"/>
    </row>
    <row r="868" spans="6:8" ht="13" x14ac:dyDescent="0.15">
      <c r="F868" s="13"/>
      <c r="G868" s="13"/>
      <c r="H868" s="13"/>
    </row>
    <row r="869" spans="6:8" ht="13" x14ac:dyDescent="0.15">
      <c r="F869" s="13"/>
      <c r="G869" s="13"/>
      <c r="H869" s="13"/>
    </row>
    <row r="870" spans="6:8" ht="13" x14ac:dyDescent="0.15">
      <c r="F870" s="13"/>
      <c r="G870" s="13"/>
      <c r="H870" s="13"/>
    </row>
    <row r="871" spans="6:8" ht="13" x14ac:dyDescent="0.15">
      <c r="F871" s="13"/>
      <c r="G871" s="13"/>
      <c r="H871" s="13"/>
    </row>
    <row r="872" spans="6:8" ht="13" x14ac:dyDescent="0.15">
      <c r="F872" s="13"/>
      <c r="G872" s="13"/>
      <c r="H872" s="13"/>
    </row>
    <row r="873" spans="6:8" ht="13" x14ac:dyDescent="0.15">
      <c r="F873" s="13"/>
      <c r="G873" s="13"/>
      <c r="H873" s="13"/>
    </row>
    <row r="874" spans="6:8" ht="13" x14ac:dyDescent="0.15">
      <c r="F874" s="13"/>
      <c r="G874" s="13"/>
      <c r="H874" s="13"/>
    </row>
    <row r="875" spans="6:8" ht="13" x14ac:dyDescent="0.15">
      <c r="F875" s="13"/>
      <c r="G875" s="13"/>
      <c r="H875" s="13"/>
    </row>
    <row r="876" spans="6:8" ht="13" x14ac:dyDescent="0.15">
      <c r="F876" s="13"/>
      <c r="G876" s="13"/>
      <c r="H876" s="13"/>
    </row>
    <row r="877" spans="6:8" ht="13" x14ac:dyDescent="0.15">
      <c r="F877" s="13"/>
      <c r="G877" s="13"/>
      <c r="H877" s="13"/>
    </row>
    <row r="878" spans="6:8" ht="13" x14ac:dyDescent="0.15">
      <c r="F878" s="13"/>
      <c r="G878" s="13"/>
      <c r="H878" s="13"/>
    </row>
    <row r="879" spans="6:8" ht="13" x14ac:dyDescent="0.15">
      <c r="F879" s="13"/>
      <c r="G879" s="13"/>
      <c r="H879" s="13"/>
    </row>
    <row r="880" spans="6:8" ht="13" x14ac:dyDescent="0.15">
      <c r="F880" s="13"/>
      <c r="G880" s="13"/>
      <c r="H880" s="13"/>
    </row>
    <row r="881" spans="6:8" ht="13" x14ac:dyDescent="0.15">
      <c r="F881" s="13"/>
      <c r="G881" s="13"/>
      <c r="H881" s="13"/>
    </row>
    <row r="882" spans="6:8" ht="13" x14ac:dyDescent="0.15">
      <c r="F882" s="13"/>
      <c r="G882" s="13"/>
      <c r="H882" s="13"/>
    </row>
    <row r="883" spans="6:8" ht="13" x14ac:dyDescent="0.15">
      <c r="F883" s="13"/>
      <c r="G883" s="13"/>
      <c r="H883" s="13"/>
    </row>
    <row r="884" spans="6:8" ht="13" x14ac:dyDescent="0.15">
      <c r="F884" s="13"/>
      <c r="G884" s="13"/>
      <c r="H884" s="13"/>
    </row>
    <row r="885" spans="6:8" ht="13" x14ac:dyDescent="0.15">
      <c r="F885" s="13"/>
      <c r="G885" s="13"/>
      <c r="H885" s="13"/>
    </row>
    <row r="886" spans="6:8" ht="13" x14ac:dyDescent="0.15">
      <c r="F886" s="13"/>
      <c r="G886" s="13"/>
      <c r="H886" s="13"/>
    </row>
    <row r="887" spans="6:8" ht="13" x14ac:dyDescent="0.15">
      <c r="F887" s="13"/>
      <c r="G887" s="13"/>
      <c r="H887" s="13"/>
    </row>
    <row r="888" spans="6:8" ht="13" x14ac:dyDescent="0.15">
      <c r="F888" s="13"/>
      <c r="G888" s="13"/>
      <c r="H888" s="13"/>
    </row>
    <row r="889" spans="6:8" ht="13" x14ac:dyDescent="0.15">
      <c r="F889" s="13"/>
      <c r="G889" s="13"/>
      <c r="H889" s="13"/>
    </row>
    <row r="890" spans="6:8" ht="13" x14ac:dyDescent="0.15">
      <c r="F890" s="13"/>
      <c r="G890" s="13"/>
      <c r="H890" s="13"/>
    </row>
    <row r="891" spans="6:8" ht="13" x14ac:dyDescent="0.15">
      <c r="F891" s="13"/>
      <c r="G891" s="13"/>
      <c r="H891" s="13"/>
    </row>
    <row r="892" spans="6:8" ht="13" x14ac:dyDescent="0.15">
      <c r="F892" s="13"/>
      <c r="G892" s="13"/>
      <c r="H892" s="13"/>
    </row>
    <row r="893" spans="6:8" ht="13" x14ac:dyDescent="0.15">
      <c r="F893" s="13"/>
      <c r="G893" s="13"/>
      <c r="H893" s="13"/>
    </row>
    <row r="894" spans="6:8" ht="13" x14ac:dyDescent="0.15">
      <c r="F894" s="13"/>
      <c r="G894" s="13"/>
      <c r="H894" s="13"/>
    </row>
    <row r="895" spans="6:8" ht="13" x14ac:dyDescent="0.15">
      <c r="F895" s="13"/>
      <c r="G895" s="13"/>
      <c r="H895" s="13"/>
    </row>
    <row r="896" spans="6:8" ht="13" x14ac:dyDescent="0.15">
      <c r="F896" s="13"/>
      <c r="G896" s="13"/>
      <c r="H896" s="13"/>
    </row>
    <row r="897" spans="6:8" ht="13" x14ac:dyDescent="0.15">
      <c r="F897" s="13"/>
      <c r="G897" s="13"/>
      <c r="H897" s="13"/>
    </row>
    <row r="898" spans="6:8" ht="13" x14ac:dyDescent="0.15">
      <c r="F898" s="13"/>
      <c r="G898" s="13"/>
      <c r="H898" s="13"/>
    </row>
    <row r="899" spans="6:8" ht="13" x14ac:dyDescent="0.15">
      <c r="F899" s="13"/>
      <c r="G899" s="13"/>
      <c r="H899" s="13"/>
    </row>
    <row r="900" spans="6:8" ht="13" x14ac:dyDescent="0.15">
      <c r="F900" s="13"/>
      <c r="G900" s="13"/>
      <c r="H900" s="13"/>
    </row>
    <row r="901" spans="6:8" ht="13" x14ac:dyDescent="0.15">
      <c r="F901" s="13"/>
      <c r="G901" s="13"/>
      <c r="H901" s="13"/>
    </row>
    <row r="902" spans="6:8" ht="13" x14ac:dyDescent="0.15">
      <c r="F902" s="13"/>
      <c r="G902" s="13"/>
      <c r="H902" s="13"/>
    </row>
    <row r="903" spans="6:8" ht="13" x14ac:dyDescent="0.15">
      <c r="F903" s="13"/>
      <c r="G903" s="13"/>
      <c r="H903" s="13"/>
    </row>
    <row r="904" spans="6:8" ht="13" x14ac:dyDescent="0.15">
      <c r="F904" s="13"/>
      <c r="G904" s="13"/>
      <c r="H904" s="13"/>
    </row>
    <row r="905" spans="6:8" ht="13" x14ac:dyDescent="0.15">
      <c r="F905" s="13"/>
      <c r="G905" s="13"/>
      <c r="H905" s="13"/>
    </row>
    <row r="906" spans="6:8" ht="13" x14ac:dyDescent="0.15">
      <c r="F906" s="13"/>
      <c r="G906" s="13"/>
      <c r="H906" s="13"/>
    </row>
    <row r="907" spans="6:8" ht="13" x14ac:dyDescent="0.15">
      <c r="F907" s="13"/>
      <c r="G907" s="13"/>
      <c r="H907" s="13"/>
    </row>
    <row r="908" spans="6:8" ht="13" x14ac:dyDescent="0.15">
      <c r="F908" s="13"/>
      <c r="G908" s="13"/>
      <c r="H908" s="13"/>
    </row>
    <row r="909" spans="6:8" ht="13" x14ac:dyDescent="0.15">
      <c r="F909" s="13"/>
      <c r="G909" s="13"/>
      <c r="H909" s="13"/>
    </row>
    <row r="910" spans="6:8" ht="13" x14ac:dyDescent="0.15">
      <c r="F910" s="13"/>
      <c r="G910" s="13"/>
      <c r="H910" s="13"/>
    </row>
    <row r="911" spans="6:8" ht="13" x14ac:dyDescent="0.15">
      <c r="F911" s="13"/>
      <c r="G911" s="13"/>
      <c r="H911" s="13"/>
    </row>
    <row r="912" spans="6:8" ht="13" x14ac:dyDescent="0.15">
      <c r="F912" s="13"/>
      <c r="G912" s="13"/>
      <c r="H912" s="13"/>
    </row>
    <row r="913" spans="6:8" ht="13" x14ac:dyDescent="0.15">
      <c r="F913" s="13"/>
      <c r="G913" s="13"/>
      <c r="H913" s="13"/>
    </row>
    <row r="914" spans="6:8" ht="13" x14ac:dyDescent="0.15">
      <c r="F914" s="13"/>
      <c r="G914" s="13"/>
      <c r="H914" s="13"/>
    </row>
    <row r="915" spans="6:8" ht="13" x14ac:dyDescent="0.15">
      <c r="F915" s="13"/>
      <c r="G915" s="13"/>
      <c r="H915" s="13"/>
    </row>
    <row r="916" spans="6:8" ht="13" x14ac:dyDescent="0.15">
      <c r="F916" s="13"/>
      <c r="G916" s="13"/>
      <c r="H916" s="13"/>
    </row>
    <row r="917" spans="6:8" ht="13" x14ac:dyDescent="0.15">
      <c r="F917" s="13"/>
      <c r="G917" s="13"/>
      <c r="H917" s="13"/>
    </row>
    <row r="918" spans="6:8" ht="13" x14ac:dyDescent="0.15">
      <c r="F918" s="13"/>
      <c r="G918" s="13"/>
      <c r="H918" s="13"/>
    </row>
    <row r="919" spans="6:8" ht="13" x14ac:dyDescent="0.15">
      <c r="F919" s="13"/>
      <c r="G919" s="13"/>
      <c r="H919" s="13"/>
    </row>
    <row r="920" spans="6:8" ht="13" x14ac:dyDescent="0.15">
      <c r="F920" s="13"/>
      <c r="G920" s="13"/>
      <c r="H920" s="13"/>
    </row>
    <row r="921" spans="6:8" ht="13" x14ac:dyDescent="0.15">
      <c r="F921" s="13"/>
      <c r="G921" s="13"/>
      <c r="H921" s="13"/>
    </row>
    <row r="922" spans="6:8" ht="13" x14ac:dyDescent="0.15">
      <c r="F922" s="13"/>
      <c r="G922" s="13"/>
      <c r="H922" s="13"/>
    </row>
    <row r="923" spans="6:8" ht="13" x14ac:dyDescent="0.15">
      <c r="F923" s="13"/>
      <c r="G923" s="13"/>
      <c r="H923" s="13"/>
    </row>
    <row r="924" spans="6:8" ht="13" x14ac:dyDescent="0.15">
      <c r="F924" s="13"/>
      <c r="G924" s="13"/>
      <c r="H924" s="13"/>
    </row>
    <row r="925" spans="6:8" ht="13" x14ac:dyDescent="0.15">
      <c r="F925" s="13"/>
      <c r="G925" s="13"/>
      <c r="H925" s="13"/>
    </row>
    <row r="926" spans="6:8" ht="13" x14ac:dyDescent="0.15">
      <c r="F926" s="13"/>
      <c r="G926" s="13"/>
      <c r="H926" s="13"/>
    </row>
    <row r="927" spans="6:8" ht="13" x14ac:dyDescent="0.15">
      <c r="F927" s="13"/>
      <c r="G927" s="13"/>
      <c r="H927" s="13"/>
    </row>
    <row r="928" spans="6:8" ht="13" x14ac:dyDescent="0.15">
      <c r="F928" s="13"/>
      <c r="G928" s="13"/>
      <c r="H928" s="13"/>
    </row>
    <row r="929" spans="6:8" ht="13" x14ac:dyDescent="0.15">
      <c r="F929" s="13"/>
      <c r="G929" s="13"/>
      <c r="H929" s="13"/>
    </row>
    <row r="930" spans="6:8" ht="13" x14ac:dyDescent="0.15">
      <c r="F930" s="13"/>
      <c r="G930" s="13"/>
      <c r="H930" s="13"/>
    </row>
    <row r="931" spans="6:8" ht="13" x14ac:dyDescent="0.15">
      <c r="F931" s="13"/>
      <c r="G931" s="13"/>
      <c r="H931" s="13"/>
    </row>
    <row r="932" spans="6:8" ht="13" x14ac:dyDescent="0.15">
      <c r="F932" s="13"/>
      <c r="G932" s="13"/>
      <c r="H932" s="13"/>
    </row>
    <row r="933" spans="6:8" ht="13" x14ac:dyDescent="0.15">
      <c r="F933" s="13"/>
      <c r="G933" s="13"/>
      <c r="H933" s="13"/>
    </row>
    <row r="934" spans="6:8" ht="13" x14ac:dyDescent="0.15">
      <c r="F934" s="13"/>
      <c r="G934" s="13"/>
      <c r="H934" s="13"/>
    </row>
    <row r="935" spans="6:8" ht="13" x14ac:dyDescent="0.15">
      <c r="F935" s="13"/>
      <c r="G935" s="13"/>
      <c r="H935" s="13"/>
    </row>
    <row r="936" spans="6:8" ht="13" x14ac:dyDescent="0.15">
      <c r="F936" s="13"/>
      <c r="G936" s="13"/>
      <c r="H936" s="13"/>
    </row>
    <row r="937" spans="6:8" ht="13" x14ac:dyDescent="0.15">
      <c r="F937" s="13"/>
      <c r="G937" s="13"/>
      <c r="H937" s="13"/>
    </row>
    <row r="938" spans="6:8" ht="13" x14ac:dyDescent="0.15">
      <c r="F938" s="13"/>
      <c r="G938" s="13"/>
      <c r="H938" s="13"/>
    </row>
    <row r="939" spans="6:8" ht="13" x14ac:dyDescent="0.15">
      <c r="F939" s="13"/>
      <c r="G939" s="13"/>
      <c r="H939" s="13"/>
    </row>
    <row r="940" spans="6:8" ht="13" x14ac:dyDescent="0.15">
      <c r="F940" s="13"/>
      <c r="G940" s="13"/>
      <c r="H940" s="13"/>
    </row>
    <row r="941" spans="6:8" ht="13" x14ac:dyDescent="0.15">
      <c r="F941" s="13"/>
      <c r="G941" s="13"/>
      <c r="H941" s="13"/>
    </row>
    <row r="942" spans="6:8" ht="13" x14ac:dyDescent="0.15">
      <c r="F942" s="13"/>
      <c r="G942" s="13"/>
      <c r="H942" s="13"/>
    </row>
    <row r="943" spans="6:8" ht="13" x14ac:dyDescent="0.15">
      <c r="F943" s="13"/>
      <c r="G943" s="13"/>
      <c r="H943" s="13"/>
    </row>
    <row r="944" spans="6:8" ht="13" x14ac:dyDescent="0.15">
      <c r="F944" s="13"/>
      <c r="G944" s="13"/>
      <c r="H944" s="13"/>
    </row>
    <row r="945" spans="6:8" ht="13" x14ac:dyDescent="0.15">
      <c r="F945" s="13"/>
      <c r="G945" s="13"/>
      <c r="H945" s="13"/>
    </row>
    <row r="946" spans="6:8" ht="13" x14ac:dyDescent="0.15">
      <c r="F946" s="13"/>
      <c r="G946" s="13"/>
      <c r="H946" s="13"/>
    </row>
    <row r="947" spans="6:8" ht="13" x14ac:dyDescent="0.15">
      <c r="F947" s="13"/>
      <c r="G947" s="13"/>
      <c r="H947" s="13"/>
    </row>
    <row r="948" spans="6:8" ht="13" x14ac:dyDescent="0.15">
      <c r="F948" s="13"/>
      <c r="G948" s="13"/>
      <c r="H948" s="13"/>
    </row>
    <row r="949" spans="6:8" ht="13" x14ac:dyDescent="0.15">
      <c r="F949" s="13"/>
      <c r="G949" s="13"/>
      <c r="H949" s="13"/>
    </row>
    <row r="950" spans="6:8" ht="13" x14ac:dyDescent="0.15">
      <c r="F950" s="13"/>
      <c r="G950" s="13"/>
      <c r="H950" s="13"/>
    </row>
    <row r="951" spans="6:8" ht="13" x14ac:dyDescent="0.15">
      <c r="F951" s="13"/>
      <c r="G951" s="13"/>
      <c r="H951" s="13"/>
    </row>
    <row r="952" spans="6:8" ht="13" x14ac:dyDescent="0.15">
      <c r="F952" s="13"/>
      <c r="G952" s="13"/>
      <c r="H952" s="13"/>
    </row>
    <row r="953" spans="6:8" ht="13" x14ac:dyDescent="0.15">
      <c r="F953" s="13"/>
      <c r="G953" s="13"/>
      <c r="H953" s="13"/>
    </row>
    <row r="954" spans="6:8" ht="13" x14ac:dyDescent="0.15">
      <c r="F954" s="13"/>
      <c r="G954" s="13"/>
      <c r="H954" s="13"/>
    </row>
    <row r="955" spans="6:8" ht="13" x14ac:dyDescent="0.15">
      <c r="F955" s="13"/>
      <c r="G955" s="13"/>
      <c r="H955" s="13"/>
    </row>
    <row r="956" spans="6:8" ht="13" x14ac:dyDescent="0.15">
      <c r="F956" s="13"/>
      <c r="G956" s="13"/>
      <c r="H956" s="13"/>
    </row>
    <row r="957" spans="6:8" ht="13" x14ac:dyDescent="0.15">
      <c r="F957" s="13"/>
      <c r="G957" s="13"/>
      <c r="H957" s="13"/>
    </row>
    <row r="958" spans="6:8" ht="13" x14ac:dyDescent="0.15">
      <c r="F958" s="13"/>
      <c r="G958" s="13"/>
      <c r="H958" s="13"/>
    </row>
    <row r="959" spans="6:8" ht="13" x14ac:dyDescent="0.15">
      <c r="F959" s="13"/>
      <c r="G959" s="13"/>
      <c r="H959" s="13"/>
    </row>
    <row r="960" spans="6:8" ht="13" x14ac:dyDescent="0.15">
      <c r="F960" s="13"/>
      <c r="G960" s="13"/>
      <c r="H960" s="13"/>
    </row>
    <row r="961" spans="6:8" ht="13" x14ac:dyDescent="0.15">
      <c r="F961" s="13"/>
      <c r="G961" s="13"/>
      <c r="H961" s="13"/>
    </row>
    <row r="962" spans="6:8" ht="13" x14ac:dyDescent="0.15">
      <c r="F962" s="13"/>
      <c r="G962" s="13"/>
      <c r="H962" s="13"/>
    </row>
    <row r="963" spans="6:8" ht="13" x14ac:dyDescent="0.15">
      <c r="F963" s="13"/>
      <c r="G963" s="13"/>
      <c r="H963" s="13"/>
    </row>
    <row r="964" spans="6:8" ht="13" x14ac:dyDescent="0.15">
      <c r="F964" s="13"/>
      <c r="G964" s="13"/>
      <c r="H964" s="13"/>
    </row>
    <row r="965" spans="6:8" ht="13" x14ac:dyDescent="0.15">
      <c r="F965" s="13"/>
      <c r="G965" s="13"/>
      <c r="H965" s="13"/>
    </row>
    <row r="966" spans="6:8" ht="13" x14ac:dyDescent="0.15">
      <c r="F966" s="13"/>
      <c r="G966" s="13"/>
      <c r="H966" s="13"/>
    </row>
    <row r="967" spans="6:8" ht="13" x14ac:dyDescent="0.15">
      <c r="F967" s="13"/>
      <c r="G967" s="13"/>
      <c r="H967" s="13"/>
    </row>
    <row r="968" spans="6:8" ht="13" x14ac:dyDescent="0.15">
      <c r="F968" s="13"/>
      <c r="G968" s="13"/>
      <c r="H968" s="13"/>
    </row>
    <row r="969" spans="6:8" ht="13" x14ac:dyDescent="0.15">
      <c r="F969" s="13"/>
      <c r="G969" s="13"/>
      <c r="H969" s="13"/>
    </row>
    <row r="970" spans="6:8" ht="13" x14ac:dyDescent="0.15">
      <c r="F970" s="13"/>
      <c r="G970" s="13"/>
      <c r="H970" s="13"/>
    </row>
    <row r="971" spans="6:8" ht="13" x14ac:dyDescent="0.15">
      <c r="F971" s="13"/>
      <c r="G971" s="13"/>
      <c r="H971" s="13"/>
    </row>
    <row r="972" spans="6:8" ht="13" x14ac:dyDescent="0.15">
      <c r="F972" s="13"/>
      <c r="G972" s="13"/>
      <c r="H972" s="13"/>
    </row>
    <row r="973" spans="6:8" ht="13" x14ac:dyDescent="0.15">
      <c r="F973" s="13"/>
      <c r="G973" s="13"/>
      <c r="H973" s="13"/>
    </row>
    <row r="974" spans="6:8" ht="13" x14ac:dyDescent="0.15">
      <c r="F974" s="13"/>
      <c r="G974" s="13"/>
      <c r="H974" s="13"/>
    </row>
    <row r="975" spans="6:8" ht="13" x14ac:dyDescent="0.15">
      <c r="F975" s="13"/>
      <c r="G975" s="13"/>
      <c r="H975" s="13"/>
    </row>
    <row r="976" spans="6:8" ht="13" x14ac:dyDescent="0.15">
      <c r="F976" s="13"/>
      <c r="G976" s="13"/>
      <c r="H976" s="13"/>
    </row>
    <row r="977" spans="6:8" ht="13" x14ac:dyDescent="0.15">
      <c r="F977" s="13"/>
      <c r="G977" s="13"/>
      <c r="H977" s="13"/>
    </row>
    <row r="978" spans="6:8" ht="13" x14ac:dyDescent="0.15">
      <c r="F978" s="13"/>
      <c r="G978" s="13"/>
      <c r="H978" s="13"/>
    </row>
    <row r="979" spans="6:8" ht="13" x14ac:dyDescent="0.15">
      <c r="F979" s="13"/>
      <c r="G979" s="13"/>
      <c r="H979" s="13"/>
    </row>
    <row r="980" spans="6:8" ht="13" x14ac:dyDescent="0.15">
      <c r="F980" s="13"/>
      <c r="G980" s="13"/>
      <c r="H980" s="13"/>
    </row>
    <row r="981" spans="6:8" ht="13" x14ac:dyDescent="0.15">
      <c r="F981" s="13"/>
      <c r="G981" s="13"/>
      <c r="H981" s="13"/>
    </row>
    <row r="982" spans="6:8" ht="13" x14ac:dyDescent="0.15">
      <c r="F982" s="13"/>
      <c r="G982" s="13"/>
      <c r="H982" s="13"/>
    </row>
    <row r="983" spans="6:8" ht="13" x14ac:dyDescent="0.15">
      <c r="F983" s="13"/>
      <c r="G983" s="13"/>
      <c r="H983" s="13"/>
    </row>
    <row r="984" spans="6:8" ht="13" x14ac:dyDescent="0.15">
      <c r="F984" s="13"/>
      <c r="G984" s="13"/>
      <c r="H984" s="13"/>
    </row>
    <row r="985" spans="6:8" ht="13" x14ac:dyDescent="0.15">
      <c r="F985" s="13"/>
      <c r="G985" s="13"/>
      <c r="H985" s="13"/>
    </row>
    <row r="986" spans="6:8" ht="13" x14ac:dyDescent="0.15">
      <c r="F986" s="13"/>
      <c r="G986" s="13"/>
      <c r="H986" s="13"/>
    </row>
    <row r="987" spans="6:8" ht="13" x14ac:dyDescent="0.15">
      <c r="F987" s="13"/>
      <c r="G987" s="13"/>
      <c r="H987" s="13"/>
    </row>
    <row r="988" spans="6:8" ht="13" x14ac:dyDescent="0.15">
      <c r="F988" s="13"/>
      <c r="G988" s="13"/>
      <c r="H988" s="13"/>
    </row>
    <row r="989" spans="6:8" ht="13" x14ac:dyDescent="0.15">
      <c r="F989" s="13"/>
      <c r="G989" s="13"/>
      <c r="H989" s="13"/>
    </row>
    <row r="990" spans="6:8" ht="13" x14ac:dyDescent="0.15">
      <c r="F990" s="13"/>
      <c r="G990" s="13"/>
      <c r="H990" s="13"/>
    </row>
    <row r="991" spans="6:8" ht="13" x14ac:dyDescent="0.15">
      <c r="F991" s="13"/>
      <c r="G991" s="13"/>
      <c r="H991" s="13"/>
    </row>
    <row r="992" spans="6:8" ht="13" x14ac:dyDescent="0.15">
      <c r="F992" s="13"/>
      <c r="G992" s="13"/>
      <c r="H992" s="13"/>
    </row>
    <row r="993" spans="6:8" ht="13" x14ac:dyDescent="0.15">
      <c r="F993" s="13"/>
      <c r="G993" s="13"/>
      <c r="H993" s="13"/>
    </row>
    <row r="994" spans="6:8" ht="13" x14ac:dyDescent="0.15">
      <c r="F994" s="13"/>
      <c r="G994" s="13"/>
      <c r="H994" s="13"/>
    </row>
    <row r="995" spans="6:8" ht="13" x14ac:dyDescent="0.15">
      <c r="F995" s="13"/>
      <c r="G995" s="13"/>
      <c r="H995" s="13"/>
    </row>
    <row r="996" spans="6:8" ht="13" x14ac:dyDescent="0.15">
      <c r="F996" s="13"/>
      <c r="G996" s="13"/>
      <c r="H996" s="13"/>
    </row>
    <row r="997" spans="6:8" ht="13" x14ac:dyDescent="0.15">
      <c r="F997" s="13"/>
      <c r="G997" s="13"/>
      <c r="H997" s="13"/>
    </row>
    <row r="998" spans="6:8" ht="13" x14ac:dyDescent="0.15">
      <c r="F998" s="13"/>
      <c r="G998" s="13"/>
      <c r="H998" s="13"/>
    </row>
    <row r="999" spans="6:8" ht="13" x14ac:dyDescent="0.15">
      <c r="F999" s="13"/>
      <c r="G999" s="13"/>
      <c r="H999" s="13"/>
    </row>
    <row r="1000" spans="6:8" ht="13" x14ac:dyDescent="0.15">
      <c r="F1000" s="13"/>
      <c r="G1000" s="13"/>
      <c r="H100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Invertebrate and periphyton</vt:lpstr>
      <vt:lpstr>Juvenile fish 2025</vt:lpstr>
      <vt:lpstr>Temperature</vt:lpstr>
      <vt:lpstr>Site Name Acronyms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Emmerson Wilson</cp:lastModifiedBy>
  <dcterms:created xsi:type="dcterms:W3CDTF">2026-03-05T16:29:12Z</dcterms:created>
  <dcterms:modified xsi:type="dcterms:W3CDTF">2026-03-05T17:37:39Z</dcterms:modified>
</cp:coreProperties>
</file>